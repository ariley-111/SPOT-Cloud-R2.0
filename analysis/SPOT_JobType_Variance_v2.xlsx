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-Type Variance" sheetId="1" state="visible" r:id="rId1"/>
    <sheet xmlns:r="http://schemas.openxmlformats.org/officeDocument/2006/relationships" name="Cut Only List" sheetId="2" state="visible" r:id="rId2"/>
    <sheet xmlns:r="http://schemas.openxmlformats.org/officeDocument/2006/relationships" name="Print + Cut List" sheetId="3" state="visible" r:id="rId3"/>
    <sheet xmlns:r="http://schemas.openxmlformats.org/officeDocument/2006/relationships" name="Print+Cut+Fin List" sheetId="4" state="visible" r:id="rId4"/>
    <sheet xmlns:r="http://schemas.openxmlformats.org/officeDocument/2006/relationships" name="Unmatched" sheetId="5" state="visible" r:id="rId5"/>
  </sheets>
  <definedNames>
    <definedName name="_xlnm._FilterDatabase" localSheetId="1" hidden="1">'Cut Only List'!$A$4:$N$37</definedName>
    <definedName name="_xlnm._FilterDatabase" localSheetId="2" hidden="1">'Print + Cut List'!$A$4:$N$167</definedName>
    <definedName name="_xlnm._FilterDatabase" localSheetId="3" hidden="1">'Print+Cut+Fin List'!$A$4:$N$153</definedName>
    <definedName name="_xlnm._FilterDatabase" localSheetId="4" hidden="1">'Unmatched'!$A$4:$N$118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&quot;%&quot;;-0.00&quot;%&quot;;0.00&quot;%&quot;"/>
    <numFmt numFmtId="165" formatCode="$#,##0.00;[Red]-$#,##0.00"/>
  </numFmts>
  <fonts count="6">
    <font>
      <name val="Calibri"/>
      <family val="2"/>
      <color theme="1"/>
      <sz val="11"/>
      <scheme val="minor"/>
    </font>
    <font>
      <b val="1"/>
      <color rgb="001F4E78"/>
      <sz val="16"/>
    </font>
    <font>
      <i val="1"/>
      <color rgb="00595959"/>
      <sz val="10"/>
    </font>
    <font>
      <b val="1"/>
      <color rgb="001F4E78"/>
      <sz val="12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3" fontId="0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4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0" fontId="0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Cut Only — Avg vs Median Variance % by Qty Band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'Job-Type Variance'!C49</f>
            </strRef>
          </tx>
          <spPr>
            <a:ln xmlns:a="http://schemas.openxmlformats.org/drawingml/2006/main">
              <a:prstDash val="solid"/>
            </a:ln>
          </spPr>
          <cat>
            <numRef>
              <f>'Job-Type Variance'!$A$50:$A$54</f>
            </numRef>
          </cat>
          <val>
            <numRef>
              <f>'Job-Type Variance'!$C$50:$C$54</f>
            </numRef>
          </val>
        </ser>
        <ser>
          <idx val="1"/>
          <order val="1"/>
          <tx>
            <strRef>
              <f>'Job-Type Variance'!D49</f>
            </strRef>
          </tx>
          <spPr>
            <a:ln xmlns:a="http://schemas.openxmlformats.org/drawingml/2006/main">
              <a:prstDash val="solid"/>
            </a:ln>
          </spPr>
          <cat>
            <numRef>
              <f>'Job-Type Variance'!$A$50:$A$54</f>
            </numRef>
          </cat>
          <val>
            <numRef>
              <f>'Job-Type Variance'!$D$50:$D$54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Qty Band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Variance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Print + Cut — Avg vs Median Variance % by Qty Band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'Job-Type Variance'!C57</f>
            </strRef>
          </tx>
          <spPr>
            <a:ln xmlns:a="http://schemas.openxmlformats.org/drawingml/2006/main">
              <a:prstDash val="solid"/>
            </a:ln>
          </spPr>
          <cat>
            <numRef>
              <f>'Job-Type Variance'!$A$58:$A$62</f>
            </numRef>
          </cat>
          <val>
            <numRef>
              <f>'Job-Type Variance'!$C$58:$C$62</f>
            </numRef>
          </val>
        </ser>
        <ser>
          <idx val="1"/>
          <order val="1"/>
          <tx>
            <strRef>
              <f>'Job-Type Variance'!D57</f>
            </strRef>
          </tx>
          <spPr>
            <a:ln xmlns:a="http://schemas.openxmlformats.org/drawingml/2006/main">
              <a:prstDash val="solid"/>
            </a:ln>
          </spPr>
          <cat>
            <numRef>
              <f>'Job-Type Variance'!$A$58:$A$62</f>
            </numRef>
          </cat>
          <val>
            <numRef>
              <f>'Job-Type Variance'!$D$58:$D$62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Qty Band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Variance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Print + Cut + Finishing — Avg vs Median Variance % by Qty Band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'Job-Type Variance'!C65</f>
            </strRef>
          </tx>
          <spPr>
            <a:ln xmlns:a="http://schemas.openxmlformats.org/drawingml/2006/main">
              <a:prstDash val="solid"/>
            </a:ln>
          </spPr>
          <cat>
            <numRef>
              <f>'Job-Type Variance'!$A$66:$A$70</f>
            </numRef>
          </cat>
          <val>
            <numRef>
              <f>'Job-Type Variance'!$C$66:$C$70</f>
            </numRef>
          </val>
        </ser>
        <ser>
          <idx val="1"/>
          <order val="1"/>
          <tx>
            <strRef>
              <f>'Job-Type Variance'!D65</f>
            </strRef>
          </tx>
          <spPr>
            <a:ln xmlns:a="http://schemas.openxmlformats.org/drawingml/2006/main">
              <a:prstDash val="solid"/>
            </a:ln>
          </spPr>
          <cat>
            <numRef>
              <f>'Job-Type Variance'!$A$66:$A$70</f>
            </numRef>
          </cat>
          <val>
            <numRef>
              <f>'Job-Type Variance'!$D$66:$D$70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Qty Band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Variance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Combined — Median Variance % by Job Type × Qty Band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'Job-Type Variance'!B75</f>
            </strRef>
          </tx>
          <spPr>
            <a:ln xmlns:a="http://schemas.openxmlformats.org/drawingml/2006/main">
              <a:prstDash val="solid"/>
            </a:ln>
          </spPr>
          <cat>
            <numRef>
              <f>'Job-Type Variance'!$A$76:$A$80</f>
            </numRef>
          </cat>
          <val>
            <numRef>
              <f>'Job-Type Variance'!$B$76:$B$80</f>
            </numRef>
          </val>
        </ser>
        <ser>
          <idx val="1"/>
          <order val="1"/>
          <tx>
            <strRef>
              <f>'Job-Type Variance'!C75</f>
            </strRef>
          </tx>
          <spPr>
            <a:ln xmlns:a="http://schemas.openxmlformats.org/drawingml/2006/main">
              <a:prstDash val="solid"/>
            </a:ln>
          </spPr>
          <cat>
            <numRef>
              <f>'Job-Type Variance'!$A$76:$A$80</f>
            </numRef>
          </cat>
          <val>
            <numRef>
              <f>'Job-Type Variance'!$C$76:$C$80</f>
            </numRef>
          </val>
        </ser>
        <ser>
          <idx val="2"/>
          <order val="2"/>
          <tx>
            <strRef>
              <f>'Job-Type Variance'!D75</f>
            </strRef>
          </tx>
          <spPr>
            <a:ln xmlns:a="http://schemas.openxmlformats.org/drawingml/2006/main">
              <a:prstDash val="solid"/>
            </a:ln>
          </spPr>
          <cat>
            <numRef>
              <f>'Job-Type Variance'!$A$76:$A$80</f>
            </numRef>
          </cat>
          <val>
            <numRef>
              <f>'Job-Type Variance'!$D$76:$D$80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Qty Band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Median Variance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5</col>
      <colOff>0</colOff>
      <row>47</row>
      <rowOff>0</rowOff>
    </from>
    <ext cx="79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55</row>
      <rowOff>0</rowOff>
    </from>
    <ext cx="792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</col>
      <colOff>0</colOff>
      <row>63</row>
      <rowOff>0</rowOff>
    </from>
    <ext cx="792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5</col>
      <colOff>0</colOff>
      <row>73</row>
      <rowOff>0</rowOff>
    </from>
    <ext cx="864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0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>
      <c r="A1" s="1" t="inlineStr">
        <is>
          <t>SPOT vs iQuote — Variance by Job Type × Qty Band  (v2, corrected join)</t>
        </is>
      </c>
    </row>
    <row r="2">
      <c r="A2" s="2" t="inlineStr">
        <is>
          <t>Component-level analysis. v2 replaces the ordinal fallback with a fuzzy name+qty matcher. Rows that could not be matched with confidence are excluded from stats (not forced onto arbitrary partners).</t>
        </is>
      </c>
    </row>
    <row r="3">
      <c r="A3" s="2" t="inlineStr">
        <is>
          <t>Filter: only the 110 estimates in the Round 2 quote-total analysis. -COPY duplicates dropped. Match method is on each row of the list sheets for audit.</t>
        </is>
      </c>
    </row>
    <row r="5">
      <c r="A5" s="3" t="inlineStr">
        <is>
          <t>Match Method Breakdown (all rows)</t>
        </is>
      </c>
    </row>
    <row r="6">
      <c r="A6" s="4" t="inlineStr">
        <is>
          <t>Method</t>
        </is>
      </c>
      <c r="B6" s="4" t="inlineStr">
        <is>
          <t>Count</t>
        </is>
      </c>
    </row>
    <row r="7">
      <c r="A7" t="inlineStr">
        <is>
          <t>qty-unique</t>
        </is>
      </c>
      <c r="B7" s="5" t="n">
        <v>120</v>
      </c>
    </row>
    <row r="8">
      <c r="A8" t="inlineStr">
        <is>
          <t>unmatched</t>
        </is>
      </c>
      <c r="B8" s="5" t="n">
        <v>101</v>
      </c>
    </row>
    <row r="9">
      <c r="A9" t="inlineStr">
        <is>
          <t>exact</t>
        </is>
      </c>
      <c r="B9" s="5" t="n">
        <v>35</v>
      </c>
    </row>
    <row r="10">
      <c r="A10" t="inlineStr">
        <is>
          <t>qty-tie+name(1.00)</t>
        </is>
      </c>
      <c r="B10" s="5" t="n">
        <v>31</v>
      </c>
    </row>
    <row r="11">
      <c r="A11" t="inlineStr">
        <is>
          <t>no-iq-rows</t>
        </is>
      </c>
      <c r="B11" s="5" t="n">
        <v>13</v>
      </c>
    </row>
    <row r="12">
      <c r="A12" t="inlineStr">
        <is>
          <t>name(1.00)</t>
        </is>
      </c>
      <c r="B12" s="5" t="n">
        <v>6</v>
      </c>
    </row>
    <row r="13">
      <c r="A13" t="inlineStr">
        <is>
          <t>qty-tie+name(0.70)</t>
        </is>
      </c>
      <c r="B13" s="5" t="n">
        <v>4</v>
      </c>
    </row>
    <row r="14">
      <c r="A14" t="inlineStr">
        <is>
          <t>qty-tie+name(0.60)</t>
        </is>
      </c>
      <c r="B14" s="5" t="n">
        <v>3</v>
      </c>
    </row>
    <row r="15">
      <c r="A15" t="inlineStr">
        <is>
          <t>name(0.70)</t>
        </is>
      </c>
      <c r="B15" s="5" t="n">
        <v>3</v>
      </c>
    </row>
    <row r="16">
      <c r="A16" t="inlineStr">
        <is>
          <t>qty-tie+name(0.85)</t>
        </is>
      </c>
      <c r="B16" s="5" t="n">
        <v>3</v>
      </c>
    </row>
    <row r="17">
      <c r="A17" t="inlineStr">
        <is>
          <t>qty-tie+name(0.97)</t>
        </is>
      </c>
      <c r="B17" s="5" t="n">
        <v>2</v>
      </c>
    </row>
    <row r="18">
      <c r="A18" t="inlineStr">
        <is>
          <t>qty-tie+name(0.84)</t>
        </is>
      </c>
      <c r="B18" s="5" t="n">
        <v>2</v>
      </c>
    </row>
    <row r="19">
      <c r="A19" t="inlineStr">
        <is>
          <t>qty-tie+name(0.71)</t>
        </is>
      </c>
      <c r="B19" s="5" t="n">
        <v>2</v>
      </c>
    </row>
    <row r="20">
      <c r="A20" t="inlineStr">
        <is>
          <t>qty-tie+name(0.57)</t>
        </is>
      </c>
      <c r="B20" s="5" t="n">
        <v>2</v>
      </c>
    </row>
    <row r="21">
      <c r="A21" t="inlineStr">
        <is>
          <t>qty±20+name(0.56)</t>
        </is>
      </c>
      <c r="B21" s="5" t="n">
        <v>1</v>
      </c>
    </row>
    <row r="22">
      <c r="A22" t="inlineStr">
        <is>
          <t>qty±20+name(0.67)</t>
        </is>
      </c>
      <c r="B22" s="5" t="n">
        <v>1</v>
      </c>
    </row>
    <row r="23">
      <c r="A23" t="inlineStr">
        <is>
          <t>qty±20+name(0.63)</t>
        </is>
      </c>
      <c r="B23" s="5" t="n">
        <v>1</v>
      </c>
    </row>
    <row r="24">
      <c r="A24" t="inlineStr">
        <is>
          <t>name(0.77)</t>
        </is>
      </c>
      <c r="B24" s="5" t="n">
        <v>1</v>
      </c>
    </row>
    <row r="25">
      <c r="A25" t="inlineStr">
        <is>
          <t>qty-tie+name(0.79)</t>
        </is>
      </c>
      <c r="B25" s="5" t="n">
        <v>1</v>
      </c>
    </row>
    <row r="26">
      <c r="A26" t="inlineStr">
        <is>
          <t>qty-tie+name(0.63)</t>
        </is>
      </c>
      <c r="B26" s="5" t="n">
        <v>1</v>
      </c>
    </row>
    <row r="27">
      <c r="A27" t="inlineStr">
        <is>
          <t>qty-tie+name(0.65)</t>
        </is>
      </c>
      <c r="B27" s="5" t="n">
        <v>1</v>
      </c>
    </row>
    <row r="28">
      <c r="A28" t="inlineStr">
        <is>
          <t>qty-tie+name(0.59)</t>
        </is>
      </c>
      <c r="B28" s="5" t="n">
        <v>1</v>
      </c>
    </row>
    <row r="29">
      <c r="A29" t="inlineStr">
        <is>
          <t>qty-tie+name(0.56)</t>
        </is>
      </c>
      <c r="B29" s="5" t="n">
        <v>1</v>
      </c>
    </row>
    <row r="30">
      <c r="A30" t="inlineStr">
        <is>
          <t>qty-tie+name(0.69)</t>
        </is>
      </c>
      <c r="B30" s="5" t="n">
        <v>1</v>
      </c>
    </row>
    <row r="31">
      <c r="A31" t="inlineStr">
        <is>
          <t>qty-tie+name(0.75)</t>
        </is>
      </c>
      <c r="B31" s="5" t="n">
        <v>1</v>
      </c>
    </row>
    <row r="32">
      <c r="A32" t="inlineStr">
        <is>
          <t>qty-tie+name(0.62)</t>
        </is>
      </c>
      <c r="B32" s="5" t="n">
        <v>1</v>
      </c>
    </row>
    <row r="33">
      <c r="A33" t="inlineStr">
        <is>
          <t>name(0.73)</t>
        </is>
      </c>
      <c r="B33" s="5" t="n">
        <v>1</v>
      </c>
    </row>
    <row r="34">
      <c r="A34" t="inlineStr">
        <is>
          <t>name(0.76)</t>
        </is>
      </c>
      <c r="B34" s="5" t="n">
        <v>1</v>
      </c>
    </row>
    <row r="35">
      <c r="A35" t="inlineStr">
        <is>
          <t>qty-tie+name(0.96)</t>
        </is>
      </c>
      <c r="B35" s="5" t="n">
        <v>1</v>
      </c>
    </row>
    <row r="36">
      <c r="A36" t="inlineStr">
        <is>
          <t>qty±20+name(0.74)</t>
        </is>
      </c>
      <c r="B36" s="5" t="n">
        <v>1</v>
      </c>
    </row>
    <row r="37">
      <c r="A37" t="inlineStr">
        <is>
          <t>qty±20+name(0.69)</t>
        </is>
      </c>
      <c r="B37" s="5" t="n">
        <v>1</v>
      </c>
    </row>
    <row r="38">
      <c r="A38" t="inlineStr">
        <is>
          <t>name(0.90)</t>
        </is>
      </c>
      <c r="B38" s="5" t="n">
        <v>1</v>
      </c>
    </row>
    <row r="41">
      <c r="A41" s="3" t="inlineStr">
        <is>
          <t>Component Counts by Job Type</t>
        </is>
      </c>
    </row>
    <row r="42">
      <c r="A42" s="6" t="inlineStr">
        <is>
          <t>Job Type</t>
        </is>
      </c>
      <c r="B42" s="6" t="inlineStr">
        <is>
          <t>Components</t>
        </is>
      </c>
      <c r="C42" s="6" t="inlineStr">
        <is>
          <t>Avg Variance %</t>
        </is>
      </c>
      <c r="D42" s="6" t="inlineStr">
        <is>
          <t>Median Variance %</t>
        </is>
      </c>
    </row>
    <row r="43">
      <c r="A43" s="7" t="inlineStr">
        <is>
          <t>Cut Only</t>
        </is>
      </c>
      <c r="B43" s="8" t="n">
        <v>18</v>
      </c>
      <c r="C43" s="9" t="n">
        <v>87.08379386123769</v>
      </c>
      <c r="D43" s="9" t="n">
        <v>19.49979670890978</v>
      </c>
    </row>
    <row r="44">
      <c r="A44" s="7" t="inlineStr">
        <is>
          <t>Print + Cut</t>
        </is>
      </c>
      <c r="B44" s="8" t="n">
        <v>104</v>
      </c>
      <c r="C44" s="9" t="n">
        <v>14.86575867170756</v>
      </c>
      <c r="D44" s="9" t="n">
        <v>16.30361732596017</v>
      </c>
    </row>
    <row r="45">
      <c r="A45" s="7" t="inlineStr">
        <is>
          <t>Print + Cut + Finishing</t>
        </is>
      </c>
      <c r="B45" s="8" t="n">
        <v>109</v>
      </c>
      <c r="C45" s="9" t="n">
        <v>24.47704741038572</v>
      </c>
      <c r="D45" s="9" t="n">
        <v>10.64618084613697</v>
      </c>
    </row>
    <row r="48">
      <c r="A48" s="3" t="inlineStr">
        <is>
          <t>Cut Only</t>
        </is>
      </c>
    </row>
    <row r="49">
      <c r="A49" s="6" t="inlineStr">
        <is>
          <t>Qty Band</t>
        </is>
      </c>
      <c r="B49" s="6" t="inlineStr">
        <is>
          <t>Count</t>
        </is>
      </c>
      <c r="C49" s="6" t="inlineStr">
        <is>
          <t>Avg Variance %</t>
        </is>
      </c>
      <c r="D49" s="6" t="inlineStr">
        <is>
          <t>Median Variance %</t>
        </is>
      </c>
    </row>
    <row r="50">
      <c r="A50" s="10" t="inlineStr">
        <is>
          <t>1-49</t>
        </is>
      </c>
      <c r="B50" s="8" t="n">
        <v>1</v>
      </c>
      <c r="C50" s="9" t="n">
        <v>-6.684856753069584</v>
      </c>
      <c r="D50" s="9" t="n">
        <v>-6.684856753069584</v>
      </c>
    </row>
    <row r="51">
      <c r="A51" s="10" t="inlineStr">
        <is>
          <t>50-199</t>
        </is>
      </c>
      <c r="B51" s="8" t="n">
        <v>8</v>
      </c>
      <c r="C51" s="9" t="n">
        <v>-23.51336302403025</v>
      </c>
      <c r="D51" s="9" t="n">
        <v>-32.80553972850956</v>
      </c>
    </row>
    <row r="52">
      <c r="A52" s="10" t="inlineStr">
        <is>
          <t>200-999</t>
        </is>
      </c>
      <c r="B52" s="8" t="n">
        <v>6</v>
      </c>
      <c r="C52" s="9" t="n">
        <v>267.4659996913662</v>
      </c>
      <c r="D52" s="9" t="n">
        <v>47.65852655927961</v>
      </c>
    </row>
    <row r="53">
      <c r="A53" s="10" t="inlineStr">
        <is>
          <t>1000-4999</t>
        </is>
      </c>
      <c r="B53" s="8" t="n">
        <v>1</v>
      </c>
      <c r="C53" s="9" t="n">
        <v>26.34415076163524</v>
      </c>
      <c r="D53" s="9" t="n">
        <v>26.34415076163524</v>
      </c>
    </row>
    <row r="54">
      <c r="A54" s="10" t="inlineStr">
        <is>
          <t>5000+</t>
        </is>
      </c>
      <c r="B54" s="8" t="n">
        <v>2</v>
      </c>
      <c r="C54" s="9" t="n">
        <v>65.57995076887907</v>
      </c>
      <c r="D54" s="9" t="n">
        <v>65.57995076887907</v>
      </c>
    </row>
    <row r="56">
      <c r="A56" s="3" t="inlineStr">
        <is>
          <t>Print + Cut</t>
        </is>
      </c>
    </row>
    <row r="57">
      <c r="A57" s="6" t="inlineStr">
        <is>
          <t>Qty Band</t>
        </is>
      </c>
      <c r="B57" s="6" t="inlineStr">
        <is>
          <t>Count</t>
        </is>
      </c>
      <c r="C57" s="6" t="inlineStr">
        <is>
          <t>Avg Variance %</t>
        </is>
      </c>
      <c r="D57" s="6" t="inlineStr">
        <is>
          <t>Median Variance %</t>
        </is>
      </c>
    </row>
    <row r="58">
      <c r="A58" s="10" t="inlineStr">
        <is>
          <t>1-49</t>
        </is>
      </c>
      <c r="B58" s="8" t="n">
        <v>12</v>
      </c>
      <c r="C58" s="9" t="n">
        <v>35.44684081692247</v>
      </c>
      <c r="D58" s="9" t="n">
        <v>31.33450911228687</v>
      </c>
    </row>
    <row r="59">
      <c r="A59" s="10" t="inlineStr">
        <is>
          <t>50-199</t>
        </is>
      </c>
      <c r="B59" s="8" t="n">
        <v>33</v>
      </c>
      <c r="C59" s="9" t="n">
        <v>13.2937995325933</v>
      </c>
      <c r="D59" s="9" t="n">
        <v>6.923370550625055</v>
      </c>
    </row>
    <row r="60">
      <c r="A60" s="10" t="inlineStr">
        <is>
          <t>200-999</t>
        </is>
      </c>
      <c r="B60" s="8" t="n">
        <v>48</v>
      </c>
      <c r="C60" s="9" t="n">
        <v>14.24567846484649</v>
      </c>
      <c r="D60" s="9" t="n">
        <v>21.83072467496854</v>
      </c>
    </row>
    <row r="61">
      <c r="A61" s="10" t="inlineStr">
        <is>
          <t>1000-4999</t>
        </is>
      </c>
      <c r="B61" s="8" t="n">
        <v>11</v>
      </c>
      <c r="C61" s="9" t="n">
        <v>-0.1646489848813119</v>
      </c>
      <c r="D61" s="9" t="n">
        <v>-0.2414338578578431</v>
      </c>
    </row>
    <row r="62">
      <c r="A62" s="10" t="inlineStr">
        <is>
          <t>5000+</t>
        </is>
      </c>
      <c r="B62" s="8" t="n">
        <v>0</v>
      </c>
      <c r="C62" s="9" t="n"/>
      <c r="D62" s="9" t="n"/>
    </row>
    <row r="64">
      <c r="A64" s="3" t="inlineStr">
        <is>
          <t>Print + Cut + Finishing</t>
        </is>
      </c>
    </row>
    <row r="65">
      <c r="A65" s="6" t="inlineStr">
        <is>
          <t>Qty Band</t>
        </is>
      </c>
      <c r="B65" s="6" t="inlineStr">
        <is>
          <t>Count</t>
        </is>
      </c>
      <c r="C65" s="6" t="inlineStr">
        <is>
          <t>Avg Variance %</t>
        </is>
      </c>
      <c r="D65" s="6" t="inlineStr">
        <is>
          <t>Median Variance %</t>
        </is>
      </c>
    </row>
    <row r="66">
      <c r="A66" s="10" t="inlineStr">
        <is>
          <t>1-49</t>
        </is>
      </c>
      <c r="B66" s="8" t="n">
        <v>33</v>
      </c>
      <c r="C66" s="9" t="n">
        <v>28.01453491593811</v>
      </c>
      <c r="D66" s="9" t="n">
        <v>20.61068702290077</v>
      </c>
    </row>
    <row r="67">
      <c r="A67" s="10" t="inlineStr">
        <is>
          <t>50-199</t>
        </is>
      </c>
      <c r="B67" s="8" t="n">
        <v>21</v>
      </c>
      <c r="C67" s="9" t="n">
        <v>35.28172256589746</v>
      </c>
      <c r="D67" s="9" t="n">
        <v>3.753494963422579</v>
      </c>
    </row>
    <row r="68">
      <c r="A68" s="10" t="inlineStr">
        <is>
          <t>200-999</t>
        </is>
      </c>
      <c r="B68" s="8" t="n">
        <v>40</v>
      </c>
      <c r="C68" s="9" t="n">
        <v>30.24905381813604</v>
      </c>
      <c r="D68" s="9" t="n">
        <v>11.52659625028264</v>
      </c>
    </row>
    <row r="69">
      <c r="A69" s="10" t="inlineStr">
        <is>
          <t>1000-4999</t>
        </is>
      </c>
      <c r="B69" s="8" t="n">
        <v>12</v>
      </c>
      <c r="C69" s="9" t="n">
        <v>-9.803476623828011</v>
      </c>
      <c r="D69" s="9" t="n">
        <v>-16.61921175867738</v>
      </c>
    </row>
    <row r="70">
      <c r="A70" s="10" t="inlineStr">
        <is>
          <t>5000+</t>
        </is>
      </c>
      <c r="B70" s="8" t="n">
        <v>3</v>
      </c>
      <c r="C70" s="9" t="n">
        <v>-29.90603053908892</v>
      </c>
      <c r="D70" s="9" t="n">
        <v>-29.74096082451276</v>
      </c>
    </row>
    <row r="74">
      <c r="A74" s="3" t="inlineStr">
        <is>
          <t>Combined — Median Variance % by Job Type × Qty Band</t>
        </is>
      </c>
    </row>
    <row r="75">
      <c r="A75" s="6" t="inlineStr">
        <is>
          <t>Qty Band</t>
        </is>
      </c>
      <c r="B75" s="6" t="inlineStr">
        <is>
          <t>Cut Only</t>
        </is>
      </c>
      <c r="C75" s="6" t="inlineStr">
        <is>
          <t>Print + Cut</t>
        </is>
      </c>
      <c r="D75" s="6" t="inlineStr">
        <is>
          <t>Print + Cut + Finishing</t>
        </is>
      </c>
    </row>
    <row r="76">
      <c r="A76" s="10" t="inlineStr">
        <is>
          <t>1-49</t>
        </is>
      </c>
      <c r="B76" s="9" t="n">
        <v>-6.684856753069584</v>
      </c>
      <c r="C76" s="9" t="n">
        <v>31.33450911228687</v>
      </c>
      <c r="D76" s="9" t="n">
        <v>20.61068702290077</v>
      </c>
    </row>
    <row r="77">
      <c r="A77" s="10" t="inlineStr">
        <is>
          <t>50-199</t>
        </is>
      </c>
      <c r="B77" s="9" t="n">
        <v>-32.80553972850956</v>
      </c>
      <c r="C77" s="9" t="n">
        <v>6.923370550625055</v>
      </c>
      <c r="D77" s="9" t="n">
        <v>3.753494963422579</v>
      </c>
    </row>
    <row r="78">
      <c r="A78" s="10" t="inlineStr">
        <is>
          <t>200-999</t>
        </is>
      </c>
      <c r="B78" s="9" t="n">
        <v>47.65852655927961</v>
      </c>
      <c r="C78" s="9" t="n">
        <v>21.83072467496854</v>
      </c>
      <c r="D78" s="9" t="n">
        <v>11.52659625028264</v>
      </c>
    </row>
    <row r="79">
      <c r="A79" s="10" t="inlineStr">
        <is>
          <t>1000-4999</t>
        </is>
      </c>
      <c r="B79" s="9" t="n">
        <v>26.34415076163524</v>
      </c>
      <c r="C79" s="9" t="n">
        <v>-0.2414338578578431</v>
      </c>
      <c r="D79" s="9" t="n">
        <v>-16.61921175867738</v>
      </c>
    </row>
    <row r="80">
      <c r="A80" s="10" t="inlineStr">
        <is>
          <t>5000+</t>
        </is>
      </c>
      <c r="B80" s="9" t="n">
        <v>65.57995076887907</v>
      </c>
      <c r="C80" s="9" t="n"/>
      <c r="D80" s="9" t="n">
        <v>-29.74096082451276</v>
      </c>
    </row>
  </sheetData>
  <mergeCells count="3">
    <mergeCell ref="A1:P1"/>
    <mergeCell ref="A3:P3"/>
    <mergeCell ref="A2:P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26" customWidth="1" min="4" max="4"/>
    <col width="38" customWidth="1" min="5" max="5"/>
    <col width="26" customWidth="1" min="6" max="6"/>
    <col width="10" customWidth="1" min="7" max="7"/>
    <col width="26" customWidth="1" min="8" max="8"/>
    <col width="10" customWidth="1" min="9" max="9"/>
    <col width="14" customWidth="1" min="10" max="10"/>
    <col width="16" customWidth="1" min="11" max="11"/>
    <col width="16" customWidth="1" min="12" max="12"/>
    <col width="14" customWidth="1" min="13" max="13"/>
    <col width="20" customWidth="1" min="14" max="14"/>
  </cols>
  <sheetData>
    <row r="1">
      <c r="A1" s="1" t="inlineStr">
        <is>
          <t>Cut Only List — Component List (v2, corrected join)</t>
        </is>
      </c>
    </row>
    <row r="2">
      <c r="A2" s="2" t="inlineStr">
        <is>
          <t>Rows are components. Match Method shows how each SPOT row was paired to iQuote.</t>
        </is>
      </c>
    </row>
    <row r="4">
      <c r="A4" s="6" t="inlineStr">
        <is>
          <t>Qty Band</t>
        </is>
      </c>
      <c r="B4" s="6" t="inlineStr">
        <is>
          <t>iQuote Estimate #</t>
        </is>
      </c>
      <c r="C4" s="6" t="inlineStr">
        <is>
          <t>SPOT Estimate #</t>
        </is>
      </c>
      <c r="D4" s="6" t="inlineStr">
        <is>
          <t>Customer</t>
        </is>
      </c>
      <c r="E4" s="6" t="inlineStr">
        <is>
          <t>Project Name</t>
        </is>
      </c>
      <c r="F4" s="6" t="inlineStr">
        <is>
          <t>SPOT Component</t>
        </is>
      </c>
      <c r="G4" s="6" t="inlineStr">
        <is>
          <t>Qty</t>
        </is>
      </c>
      <c r="H4" s="6" t="inlineStr">
        <is>
          <t>iQuote Product</t>
        </is>
      </c>
      <c r="I4" s="6" t="inlineStr">
        <is>
          <t>iQuote Qty</t>
        </is>
      </c>
      <c r="J4" s="6" t="inlineStr">
        <is>
          <t>Print Mode</t>
        </is>
      </c>
      <c r="K4" s="6" t="inlineStr">
        <is>
          <t>SPOT Sell Total</t>
        </is>
      </c>
      <c r="L4" s="6" t="inlineStr">
        <is>
          <t>iQuote Total</t>
        </is>
      </c>
      <c r="M4" s="6" t="inlineStr">
        <is>
          <t>Variance %</t>
        </is>
      </c>
      <c r="N4" s="6" t="inlineStr">
        <is>
          <t>Match Method</t>
        </is>
      </c>
    </row>
    <row r="5">
      <c r="A5" s="10" t="inlineStr">
        <is>
          <t>1-49</t>
        </is>
      </c>
      <c r="B5" s="8" t="n">
        <v>222777</v>
      </c>
      <c r="C5" s="10" t="inlineStr">
        <is>
          <t>RW-260806-134431</t>
        </is>
      </c>
      <c r="D5" s="10" t="inlineStr">
        <is>
          <t>Apex Display Group</t>
        </is>
      </c>
      <c r="E5" s="10" t="inlineStr">
        <is>
          <t>1528-31 4 Shelf Hutch Clipped Mockup</t>
        </is>
      </c>
      <c r="F5" s="10" t="inlineStr">
        <is>
          <t>OPF (Outer Pallet Frame)</t>
        </is>
      </c>
      <c r="G5" s="8" t="n">
        <v>2</v>
      </c>
      <c r="H5" s="10" t="n">
        <v/>
      </c>
      <c r="I5" s="8" t="n"/>
      <c r="J5" s="10" t="n"/>
      <c r="K5" s="11" t="n">
        <v>122.54</v>
      </c>
      <c r="L5" s="11" t="n"/>
      <c r="M5" s="9" t="n"/>
      <c r="N5" s="10" t="inlineStr">
        <is>
          <t>unmatched</t>
        </is>
      </c>
    </row>
    <row r="6">
      <c r="A6" s="10" t="inlineStr">
        <is>
          <t>1-49</t>
        </is>
      </c>
      <c r="B6" s="8" t="n">
        <v>222777</v>
      </c>
      <c r="C6" s="10" t="inlineStr">
        <is>
          <t>RW-260806-134431</t>
        </is>
      </c>
      <c r="D6" s="10" t="inlineStr">
        <is>
          <t>Apex Display Group</t>
        </is>
      </c>
      <c r="E6" s="10" t="inlineStr">
        <is>
          <t>1528-31 4 Shelf Hutch Clipped Mockup</t>
        </is>
      </c>
      <c r="F6" s="10" t="inlineStr">
        <is>
          <t>Side Supports</t>
        </is>
      </c>
      <c r="G6" s="8" t="n">
        <v>2</v>
      </c>
      <c r="H6" s="10" t="inlineStr">
        <is>
          <t>Side Support</t>
        </is>
      </c>
      <c r="I6" s="8" t="n">
        <v>2</v>
      </c>
      <c r="J6" s="10" t="n"/>
      <c r="K6" s="11" t="n">
        <v>102.6</v>
      </c>
      <c r="L6" s="11" t="n">
        <v>109.95</v>
      </c>
      <c r="M6" s="9" t="n">
        <v>-6.684856753069584</v>
      </c>
      <c r="N6" s="10" t="inlineStr">
        <is>
          <t>qty-tie+name(0.96)</t>
        </is>
      </c>
    </row>
    <row r="7">
      <c r="A7" s="10" t="inlineStr">
        <is>
          <t>1-49</t>
        </is>
      </c>
      <c r="B7" s="8" t="n">
        <v>223672</v>
      </c>
      <c r="C7" s="10" t="inlineStr">
        <is>
          <t>RW-260807-151228</t>
        </is>
      </c>
      <c r="D7" s="10" t="inlineStr">
        <is>
          <t>Apex Display Group</t>
        </is>
      </c>
      <c r="E7" s="10" t="inlineStr">
        <is>
          <t>2586-01 Universal 36/4284 Balconi</t>
        </is>
      </c>
      <c r="F7" s="10" t="inlineStr">
        <is>
          <t>Hutch</t>
        </is>
      </c>
      <c r="G7" s="8" t="n">
        <v>2</v>
      </c>
      <c r="H7" s="10" t="n">
        <v/>
      </c>
      <c r="I7" s="8" t="n"/>
      <c r="J7" s="10" t="n"/>
      <c r="K7" s="11" t="n">
        <v>117.26</v>
      </c>
      <c r="L7" s="11" t="n"/>
      <c r="M7" s="9" t="n"/>
      <c r="N7" s="10" t="inlineStr">
        <is>
          <t>unmatched</t>
        </is>
      </c>
    </row>
    <row r="8">
      <c r="A8" s="10" t="inlineStr">
        <is>
          <t>1-49</t>
        </is>
      </c>
      <c r="B8" s="8" t="n">
        <v>223672</v>
      </c>
      <c r="C8" s="10" t="inlineStr">
        <is>
          <t>RW-260807-151228</t>
        </is>
      </c>
      <c r="D8" s="10" t="inlineStr">
        <is>
          <t>Apex Display Group</t>
        </is>
      </c>
      <c r="E8" s="10" t="inlineStr">
        <is>
          <t>2586-01 Universal 36/4284 Balconi</t>
        </is>
      </c>
      <c r="F8" s="10" t="inlineStr">
        <is>
          <t>Shelf Set</t>
        </is>
      </c>
      <c r="G8" s="8" t="n">
        <v>2</v>
      </c>
      <c r="H8" s="10" t="n">
        <v/>
      </c>
      <c r="I8" s="8" t="n"/>
      <c r="J8" s="10" t="n"/>
      <c r="K8" s="11" t="n">
        <v>135.75</v>
      </c>
      <c r="L8" s="11" t="n"/>
      <c r="M8" s="9" t="n"/>
      <c r="N8" s="10" t="inlineStr">
        <is>
          <t>unmatched</t>
        </is>
      </c>
    </row>
    <row r="9">
      <c r="A9" s="10" t="inlineStr">
        <is>
          <t>1-49</t>
        </is>
      </c>
      <c r="B9" s="8" t="n">
        <v>223057</v>
      </c>
      <c r="C9" s="10" t="inlineStr">
        <is>
          <t>RW-260807-082050</t>
        </is>
      </c>
      <c r="D9" s="10" t="inlineStr">
        <is>
          <t>Massillon Container</t>
        </is>
      </c>
      <c r="E9" s="10" t="inlineStr">
        <is>
          <t>Ten Point</t>
        </is>
      </c>
      <c r="F9" s="10" t="inlineStr">
        <is>
          <t>Item 1</t>
        </is>
      </c>
      <c r="G9" s="8" t="n">
        <v>30</v>
      </c>
      <c r="H9" s="10" t="n">
        <v/>
      </c>
      <c r="I9" s="8" t="n"/>
      <c r="J9" s="10" t="n"/>
      <c r="K9" s="11" t="n">
        <v>202.11</v>
      </c>
      <c r="L9" s="11" t="n"/>
      <c r="M9" s="9" t="n"/>
      <c r="N9" s="10" t="inlineStr">
        <is>
          <t>unmatched</t>
        </is>
      </c>
    </row>
    <row r="10">
      <c r="A10" s="10" t="inlineStr">
        <is>
          <t>50-199</t>
        </is>
      </c>
      <c r="B10" s="8" t="n">
        <v>224399</v>
      </c>
      <c r="C10" s="10" t="inlineStr">
        <is>
          <t>CD-260825-104135</t>
        </is>
      </c>
      <c r="D10" s="10" t="inlineStr">
        <is>
          <t>BCI Buckeye Division</t>
        </is>
      </c>
      <c r="E10" s="10" t="inlineStr">
        <is>
          <t>Part # 11590 / 11616 / 11617</t>
        </is>
      </c>
      <c r="F10" s="10" t="inlineStr">
        <is>
          <t>Sidekick Shelf</t>
        </is>
      </c>
      <c r="G10" s="8" t="n">
        <v>100</v>
      </c>
      <c r="H10" s="10" t="n">
        <v/>
      </c>
      <c r="I10" s="8" t="n"/>
      <c r="J10" s="10" t="n"/>
      <c r="K10" s="11" t="n">
        <v>679.28</v>
      </c>
      <c r="L10" s="11" t="n"/>
      <c r="M10" s="9" t="n"/>
      <c r="N10" s="10" t="inlineStr">
        <is>
          <t>unmatched</t>
        </is>
      </c>
    </row>
    <row r="11">
      <c r="A11" s="10" t="inlineStr">
        <is>
          <t>50-199</t>
        </is>
      </c>
      <c r="B11" s="8" t="n">
        <v>222247</v>
      </c>
      <c r="C11" s="10" t="inlineStr">
        <is>
          <t>RW-260804-170630</t>
        </is>
      </c>
      <c r="D11" s="10" t="inlineStr">
        <is>
          <t>BCI-Houston Division</t>
        </is>
      </c>
      <c r="E11" s="10" t="inlineStr">
        <is>
          <t>Klass Time Weekender / 5-Shelf Display</t>
        </is>
      </c>
      <c r="F11" s="10" t="inlineStr">
        <is>
          <t>Dividers</t>
        </is>
      </c>
      <c r="G11" s="8" t="n">
        <v>80</v>
      </c>
      <c r="H11" s="10" t="inlineStr">
        <is>
          <t>Dividers</t>
        </is>
      </c>
      <c r="I11" s="8" t="n">
        <v>320</v>
      </c>
      <c r="J11" s="10" t="n"/>
      <c r="K11" s="11" t="n">
        <v>641.3099999999999</v>
      </c>
      <c r="L11" s="11" t="n">
        <v>975.3099999999999</v>
      </c>
      <c r="M11" s="9" t="n">
        <v>-34.24552193661503</v>
      </c>
      <c r="N11" s="10" t="inlineStr">
        <is>
          <t>name(1.00)</t>
        </is>
      </c>
    </row>
    <row r="12">
      <c r="A12" s="10" t="inlineStr">
        <is>
          <t>50-199</t>
        </is>
      </c>
      <c r="B12" s="8" t="n">
        <v>222247</v>
      </c>
      <c r="C12" s="10" t="inlineStr">
        <is>
          <t>RW-260804-170630</t>
        </is>
      </c>
      <c r="D12" s="10" t="inlineStr">
        <is>
          <t>BCI-Houston Division</t>
        </is>
      </c>
      <c r="E12" s="10" t="inlineStr">
        <is>
          <t>Klass Time Weekender / 5-Shelf Display</t>
        </is>
      </c>
      <c r="F12" s="10" t="inlineStr">
        <is>
          <t>Top Shelf Riser / Ship Filler</t>
        </is>
      </c>
      <c r="G12" s="8" t="n">
        <v>80</v>
      </c>
      <c r="H12" s="10" t="inlineStr">
        <is>
          <t>Top Shelf Riser</t>
        </is>
      </c>
      <c r="I12" s="8" t="n">
        <v>80</v>
      </c>
      <c r="J12" s="10" t="n"/>
      <c r="K12" s="11" t="n">
        <v>447.28</v>
      </c>
      <c r="L12" s="11" t="n">
        <v>530.3200000000001</v>
      </c>
      <c r="M12" s="9" t="n">
        <v>-15.65847035752</v>
      </c>
      <c r="N12" s="10" t="inlineStr">
        <is>
          <t>qty-tie+name(0.71)</t>
        </is>
      </c>
    </row>
    <row r="13">
      <c r="A13" s="10" t="inlineStr">
        <is>
          <t>50-199</t>
        </is>
      </c>
      <c r="B13" s="8" t="n">
        <v>222247</v>
      </c>
      <c r="C13" s="10" t="inlineStr">
        <is>
          <t>RW-260804-170630</t>
        </is>
      </c>
      <c r="D13" s="10" t="inlineStr">
        <is>
          <t>BCI-Houston Division</t>
        </is>
      </c>
      <c r="E13" s="10" t="inlineStr">
        <is>
          <t>Klass Time Weekender / 5-Shelf Display</t>
        </is>
      </c>
      <c r="F13" s="10" t="inlineStr">
        <is>
          <t>Master Shipper</t>
        </is>
      </c>
      <c r="G13" s="8" t="n">
        <v>80</v>
      </c>
      <c r="H13" s="10" t="inlineStr">
        <is>
          <t>Master Shipper</t>
        </is>
      </c>
      <c r="I13" s="8" t="n">
        <v>80</v>
      </c>
      <c r="J13" s="10" t="n"/>
      <c r="K13" s="11" t="n">
        <v>998.12</v>
      </c>
      <c r="L13" s="11" t="n">
        <v>1917.74</v>
      </c>
      <c r="M13" s="9" t="n">
        <v>-47.95332005381334</v>
      </c>
      <c r="N13" s="10" t="inlineStr">
        <is>
          <t>qty-unique</t>
        </is>
      </c>
    </row>
    <row r="14">
      <c r="A14" s="10" t="inlineStr">
        <is>
          <t>50-199</t>
        </is>
      </c>
      <c r="B14" s="8" t="n">
        <v>222247</v>
      </c>
      <c r="C14" s="10" t="inlineStr">
        <is>
          <t>RW-260804-170630</t>
        </is>
      </c>
      <c r="D14" s="10" t="inlineStr">
        <is>
          <t>BCI-Houston Division</t>
        </is>
      </c>
      <c r="E14" s="10" t="inlineStr">
        <is>
          <t>Klass Time Weekender / 5-Shelf Display</t>
        </is>
      </c>
      <c r="F14" s="10" t="inlineStr">
        <is>
          <t>Dividers</t>
        </is>
      </c>
      <c r="G14" s="8" t="n">
        <v>132</v>
      </c>
      <c r="H14" s="10" t="inlineStr">
        <is>
          <t>Dividers</t>
        </is>
      </c>
      <c r="I14" s="8" t="n">
        <v>528</v>
      </c>
      <c r="J14" s="10" t="n"/>
      <c r="K14" s="11" t="n">
        <v>999.12</v>
      </c>
      <c r="L14" s="11" t="n">
        <v>1488.76</v>
      </c>
      <c r="M14" s="9" t="n">
        <v>-32.88911577420135</v>
      </c>
      <c r="N14" s="10" t="inlineStr">
        <is>
          <t>name(1.00)</t>
        </is>
      </c>
    </row>
    <row r="15">
      <c r="A15" s="10" t="inlineStr">
        <is>
          <t>50-199</t>
        </is>
      </c>
      <c r="B15" s="8" t="n">
        <v>222247</v>
      </c>
      <c r="C15" s="10" t="inlineStr">
        <is>
          <t>RW-260804-170630</t>
        </is>
      </c>
      <c r="D15" s="10" t="inlineStr">
        <is>
          <t>BCI-Houston Division</t>
        </is>
      </c>
      <c r="E15" s="10" t="inlineStr">
        <is>
          <t>Klass Time Weekender / 5-Shelf Display</t>
        </is>
      </c>
      <c r="F15" s="10" t="inlineStr">
        <is>
          <t>Top Shelf Riser / Ship Filler</t>
        </is>
      </c>
      <c r="G15" s="8" t="n">
        <v>132</v>
      </c>
      <c r="H15" s="10" t="inlineStr">
        <is>
          <t>Top Shelf Riser</t>
        </is>
      </c>
      <c r="I15" s="8" t="n">
        <v>132</v>
      </c>
      <c r="J15" s="10" t="n"/>
      <c r="K15" s="11" t="n">
        <v>516.11</v>
      </c>
      <c r="L15" s="11" t="n">
        <v>767.13</v>
      </c>
      <c r="M15" s="9" t="n">
        <v>-32.72196368281777</v>
      </c>
      <c r="N15" s="10" t="inlineStr">
        <is>
          <t>qty-tie+name(0.71)</t>
        </is>
      </c>
    </row>
    <row r="16">
      <c r="A16" s="10" t="inlineStr">
        <is>
          <t>50-199</t>
        </is>
      </c>
      <c r="B16" s="8" t="n">
        <v>222247</v>
      </c>
      <c r="C16" s="10" t="inlineStr">
        <is>
          <t>RW-260804-170630</t>
        </is>
      </c>
      <c r="D16" s="10" t="inlineStr">
        <is>
          <t>BCI-Houston Division</t>
        </is>
      </c>
      <c r="E16" s="10" t="inlineStr">
        <is>
          <t>Klass Time Weekender / 5-Shelf Display</t>
        </is>
      </c>
      <c r="F16" s="10" t="inlineStr">
        <is>
          <t>Master Shipper</t>
        </is>
      </c>
      <c r="G16" s="8" t="n">
        <v>132</v>
      </c>
      <c r="H16" s="10" t="inlineStr">
        <is>
          <t>Master Shipper</t>
        </is>
      </c>
      <c r="I16" s="8" t="n">
        <v>132</v>
      </c>
      <c r="J16" s="10" t="n"/>
      <c r="K16" s="11" t="n">
        <v>1493.13</v>
      </c>
      <c r="L16" s="11" t="n">
        <v>2967.46</v>
      </c>
      <c r="M16" s="9" t="n">
        <v>-49.68323077648898</v>
      </c>
      <c r="N16" s="10" t="inlineStr">
        <is>
          <t>qty-unique</t>
        </is>
      </c>
    </row>
    <row r="17">
      <c r="A17" s="10" t="inlineStr">
        <is>
          <t>50-199</t>
        </is>
      </c>
      <c r="B17" s="8" t="n">
        <v>223057</v>
      </c>
      <c r="C17" s="10" t="inlineStr">
        <is>
          <t>RW-260807-082050</t>
        </is>
      </c>
      <c r="D17" s="10" t="inlineStr">
        <is>
          <t>Massillon Container</t>
        </is>
      </c>
      <c r="E17" s="10" t="inlineStr">
        <is>
          <t>Ten Point</t>
        </is>
      </c>
      <c r="F17" s="10" t="inlineStr">
        <is>
          <t>Item 1</t>
        </is>
      </c>
      <c r="G17" s="8" t="n">
        <v>50</v>
      </c>
      <c r="H17" s="10" t="n">
        <v/>
      </c>
      <c r="I17" s="8" t="n"/>
      <c r="J17" s="10" t="n"/>
      <c r="K17" s="11" t="n">
        <v>234.4</v>
      </c>
      <c r="L17" s="11" t="n"/>
      <c r="M17" s="9" t="n"/>
      <c r="N17" s="10" t="inlineStr">
        <is>
          <t>unmatched</t>
        </is>
      </c>
    </row>
    <row r="18">
      <c r="A18" s="10" t="inlineStr">
        <is>
          <t>50-199</t>
        </is>
      </c>
      <c r="B18" s="8" t="n">
        <v>223057</v>
      </c>
      <c r="C18" s="10" t="inlineStr">
        <is>
          <t>RW-260807-082050</t>
        </is>
      </c>
      <c r="D18" s="10" t="inlineStr">
        <is>
          <t>Massillon Container</t>
        </is>
      </c>
      <c r="E18" s="10" t="inlineStr">
        <is>
          <t>Ten Point</t>
        </is>
      </c>
      <c r="F18" s="10" t="inlineStr">
        <is>
          <t>Item 1</t>
        </is>
      </c>
      <c r="G18" s="8" t="n">
        <v>70</v>
      </c>
      <c r="H18" s="10" t="n">
        <v/>
      </c>
      <c r="I18" s="8" t="n"/>
      <c r="J18" s="10" t="n"/>
      <c r="K18" s="11" t="n">
        <v>257.36</v>
      </c>
      <c r="L18" s="11" t="n"/>
      <c r="M18" s="9" t="n"/>
      <c r="N18" s="10" t="inlineStr">
        <is>
          <t>unmatched</t>
        </is>
      </c>
    </row>
    <row r="19">
      <c r="A19" s="10" t="inlineStr">
        <is>
          <t>50-199</t>
        </is>
      </c>
      <c r="B19" s="8" t="n">
        <v>223057</v>
      </c>
      <c r="C19" s="10" t="inlineStr">
        <is>
          <t>RW-260807-082050</t>
        </is>
      </c>
      <c r="D19" s="10" t="inlineStr">
        <is>
          <t>Massillon Container</t>
        </is>
      </c>
      <c r="E19" s="10" t="inlineStr">
        <is>
          <t>Ten Point</t>
        </is>
      </c>
      <c r="F19" s="10" t="inlineStr">
        <is>
          <t>Item 1</t>
        </is>
      </c>
      <c r="G19" s="8" t="n">
        <v>100</v>
      </c>
      <c r="H19" s="10" t="n">
        <v/>
      </c>
      <c r="I19" s="8" t="n"/>
      <c r="J19" s="10" t="n"/>
      <c r="K19" s="11" t="n">
        <v>306.8</v>
      </c>
      <c r="L19" s="11" t="n"/>
      <c r="M19" s="9" t="n"/>
      <c r="N19" s="10" t="inlineStr">
        <is>
          <t>unmatched</t>
        </is>
      </c>
    </row>
    <row r="20">
      <c r="A20" s="10" t="inlineStr">
        <is>
          <t>50-199</t>
        </is>
      </c>
      <c r="B20" s="8" t="n">
        <v>224302</v>
      </c>
      <c r="C20" s="10" t="inlineStr">
        <is>
          <t>CS-260820-141621</t>
        </is>
      </c>
      <c r="D20" s="10" t="inlineStr">
        <is>
          <t>Massillon Container</t>
        </is>
      </c>
      <c r="E20" s="10" t="n">
        <v/>
      </c>
      <c r="F20" s="10" t="inlineStr">
        <is>
          <t>MCC-06801-CAD_A</t>
        </is>
      </c>
      <c r="G20" s="8" t="n">
        <v>60</v>
      </c>
      <c r="H20" s="10" t="inlineStr">
        <is>
          <t>Tuck Box</t>
        </is>
      </c>
      <c r="I20" s="8" t="n">
        <v>60</v>
      </c>
      <c r="J20" s="10" t="n"/>
      <c r="K20" s="11" t="n">
        <v>911.36</v>
      </c>
      <c r="L20" s="11" t="n">
        <v>808.98</v>
      </c>
      <c r="M20" s="9" t="n">
        <v>12.65544265618433</v>
      </c>
      <c r="N20" s="10" t="inlineStr">
        <is>
          <t>qty-unique</t>
        </is>
      </c>
    </row>
    <row r="21">
      <c r="A21" s="10" t="inlineStr">
        <is>
          <t>50-199</t>
        </is>
      </c>
      <c r="B21" s="8" t="n">
        <v>224302</v>
      </c>
      <c r="C21" s="10" t="inlineStr">
        <is>
          <t>CS-260820-141621</t>
        </is>
      </c>
      <c r="D21" s="10" t="inlineStr">
        <is>
          <t>Massillon Container</t>
        </is>
      </c>
      <c r="E21" s="10" t="n">
        <v/>
      </c>
      <c r="F21" s="10" t="inlineStr">
        <is>
          <t>MCC-06801-CAD_A</t>
        </is>
      </c>
      <c r="G21" s="8" t="n">
        <v>100</v>
      </c>
      <c r="H21" s="10" t="inlineStr">
        <is>
          <t>Tuck Box</t>
        </is>
      </c>
      <c r="I21" s="8" t="n">
        <v>100</v>
      </c>
      <c r="J21" s="10" t="n"/>
      <c r="K21" s="11" t="n">
        <v>1423.59</v>
      </c>
      <c r="L21" s="11" t="n">
        <v>1266.66</v>
      </c>
      <c r="M21" s="9" t="n">
        <v>12.38927573303016</v>
      </c>
      <c r="N21" s="10" t="inlineStr">
        <is>
          <t>qty-unique</t>
        </is>
      </c>
    </row>
    <row r="22">
      <c r="A22" s="10" t="inlineStr">
        <is>
          <t>200-999</t>
        </is>
      </c>
      <c r="B22" s="8" t="n">
        <v>223071</v>
      </c>
      <c r="C22" s="10" t="inlineStr">
        <is>
          <t>RW-260807-084719</t>
        </is>
      </c>
      <c r="D22" s="10" t="inlineStr">
        <is>
          <t>Massillon Container Company</t>
        </is>
      </c>
      <c r="E22" s="10" t="inlineStr">
        <is>
          <t>X101784 / X101785 - MCC-18605 / MCC-18604</t>
        </is>
      </c>
      <c r="F22" s="10" t="inlineStr">
        <is>
          <t>X101784 - MCC-18605</t>
        </is>
      </c>
      <c r="G22" s="8" t="n">
        <v>500</v>
      </c>
      <c r="H22" s="10" t="inlineStr">
        <is>
          <t>X101784-REV A - MCC-18605</t>
        </is>
      </c>
      <c r="I22" s="8" t="n">
        <v>500</v>
      </c>
      <c r="J22" s="10" t="n"/>
      <c r="K22" s="11" t="n">
        <v>329.15</v>
      </c>
      <c r="L22" s="11" t="n">
        <v>253.23</v>
      </c>
      <c r="M22" s="9" t="n">
        <v>29.98065000197449</v>
      </c>
      <c r="N22" s="10" t="inlineStr">
        <is>
          <t>qty-tie+name(0.85)</t>
        </is>
      </c>
    </row>
    <row r="23">
      <c r="A23" s="10" t="inlineStr">
        <is>
          <t>200-999</t>
        </is>
      </c>
      <c r="B23" s="8" t="n">
        <v>223071</v>
      </c>
      <c r="C23" s="10" t="inlineStr">
        <is>
          <t>RW-260807-084719</t>
        </is>
      </c>
      <c r="D23" s="10" t="inlineStr">
        <is>
          <t>Massillon Container Company</t>
        </is>
      </c>
      <c r="E23" s="10" t="inlineStr">
        <is>
          <t>X101784 / X101785 - MCC-18605 / MCC-18604</t>
        </is>
      </c>
      <c r="F23" s="10" t="inlineStr">
        <is>
          <t>X101785 - MCC-18604</t>
        </is>
      </c>
      <c r="G23" s="8" t="n">
        <v>500</v>
      </c>
      <c r="H23" s="10" t="inlineStr">
        <is>
          <t>X101785-REV A - MCC-18604</t>
        </is>
      </c>
      <c r="I23" s="8" t="n">
        <v>500</v>
      </c>
      <c r="J23" s="10" t="n"/>
      <c r="K23" s="11" t="n">
        <v>445.5</v>
      </c>
      <c r="L23" s="11" t="n">
        <v>303.96</v>
      </c>
      <c r="M23" s="9" t="n">
        <v>46.56533754441375</v>
      </c>
      <c r="N23" s="10" t="inlineStr">
        <is>
          <t>qty-unique</t>
        </is>
      </c>
    </row>
    <row r="24">
      <c r="A24" s="10" t="inlineStr">
        <is>
          <t>200-999</t>
        </is>
      </c>
      <c r="B24" s="8" t="n">
        <v>223071</v>
      </c>
      <c r="C24" s="10" t="inlineStr">
        <is>
          <t>RW-260807-084719</t>
        </is>
      </c>
      <c r="D24" s="10" t="inlineStr">
        <is>
          <t>Massillon Container Company</t>
        </is>
      </c>
      <c r="E24" s="10" t="inlineStr">
        <is>
          <t>X101784 / X101785 - MCC-18605 / MCC-18604</t>
        </is>
      </c>
      <c r="F24" s="10" t="inlineStr">
        <is>
          <t>X101784 - MCC-18605</t>
        </is>
      </c>
      <c r="G24" s="8" t="n">
        <v>800</v>
      </c>
      <c r="H24" s="10" t="inlineStr">
        <is>
          <t>X101784-REV A - MCC-18605</t>
        </is>
      </c>
      <c r="I24" s="8" t="n">
        <v>800</v>
      </c>
      <c r="J24" s="10" t="n"/>
      <c r="K24" s="11" t="n">
        <v>455.21</v>
      </c>
      <c r="L24" s="11" t="n">
        <v>306.02</v>
      </c>
      <c r="M24" s="9" t="n">
        <v>48.75171557414548</v>
      </c>
      <c r="N24" s="10" t="inlineStr">
        <is>
          <t>qty-tie+name(0.85)</t>
        </is>
      </c>
    </row>
    <row r="25">
      <c r="A25" s="10" t="inlineStr">
        <is>
          <t>200-999</t>
        </is>
      </c>
      <c r="B25" s="8" t="n">
        <v>223071</v>
      </c>
      <c r="C25" s="10" t="inlineStr">
        <is>
          <t>RW-260807-084719</t>
        </is>
      </c>
      <c r="D25" s="10" t="inlineStr">
        <is>
          <t>Massillon Container Company</t>
        </is>
      </c>
      <c r="E25" s="10" t="inlineStr">
        <is>
          <t>X101784 / X101785 - MCC-18605 / MCC-18604</t>
        </is>
      </c>
      <c r="F25" s="10" t="inlineStr">
        <is>
          <t>X101785 - MCC-18604</t>
        </is>
      </c>
      <c r="G25" s="8" t="n">
        <v>800</v>
      </c>
      <c r="H25" s="10" t="inlineStr">
        <is>
          <t>X101785-REV A - MCC-18604</t>
        </is>
      </c>
      <c r="I25" s="8" t="n">
        <v>800</v>
      </c>
      <c r="J25" s="10" t="n"/>
      <c r="K25" s="11" t="n">
        <v>615.6</v>
      </c>
      <c r="L25" s="11" t="n">
        <v>396.72</v>
      </c>
      <c r="M25" s="9" t="n">
        <v>55.17241379310344</v>
      </c>
      <c r="N25" s="10" t="inlineStr">
        <is>
          <t>qty-unique</t>
        </is>
      </c>
    </row>
    <row r="26">
      <c r="A26" s="10" t="inlineStr">
        <is>
          <t>200-999</t>
        </is>
      </c>
      <c r="B26" s="8" t="n">
        <v>224362</v>
      </c>
      <c r="C26" s="10" t="inlineStr">
        <is>
          <t>CD-260821-152833</t>
        </is>
      </c>
      <c r="D26" s="10" t="inlineStr">
        <is>
          <t>PCA (Packaging Corporation of America)</t>
        </is>
      </c>
      <c r="E26" s="10" t="inlineStr">
        <is>
          <t>44000 90245 2027 Oreo IMC Large DBL Kit — Digital Innovation Add On kit</t>
        </is>
      </c>
      <c r="F26" s="10" t="inlineStr">
        <is>
          <t>Battery Motor Holders</t>
        </is>
      </c>
      <c r="G26" s="8" t="n">
        <v>460</v>
      </c>
      <c r="H26" s="10" t="n">
        <v/>
      </c>
      <c r="I26" s="8" t="n"/>
      <c r="J26" s="10" t="n"/>
      <c r="K26" s="11" t="n">
        <v>1738.87</v>
      </c>
      <c r="L26" s="11" t="n"/>
      <c r="M26" s="9" t="n"/>
      <c r="N26" s="10" t="inlineStr">
        <is>
          <t>unmatched</t>
        </is>
      </c>
    </row>
    <row r="27">
      <c r="A27" s="10" t="inlineStr">
        <is>
          <t>200-999</t>
        </is>
      </c>
      <c r="B27" s="8" t="n">
        <v>224362</v>
      </c>
      <c r="C27" s="10" t="inlineStr">
        <is>
          <t>CD-260821-152833</t>
        </is>
      </c>
      <c r="D27" s="10" t="inlineStr">
        <is>
          <t>PCA (Packaging Corporation of America)</t>
        </is>
      </c>
      <c r="E27" s="10" t="inlineStr">
        <is>
          <t>44000 90245 2027 Oreo IMC Large DBL Kit — Digital Innovation Add On kit</t>
        </is>
      </c>
      <c r="F27" s="10" t="inlineStr">
        <is>
          <t>38ct. HSC Bin</t>
        </is>
      </c>
      <c r="G27" s="8" t="n">
        <v>460</v>
      </c>
      <c r="H27" s="10" t="inlineStr">
        <is>
          <t>HSC Bin</t>
        </is>
      </c>
      <c r="I27" s="8" t="n">
        <v>22</v>
      </c>
      <c r="J27" s="10" t="n"/>
      <c r="K27" s="11" t="n">
        <v>7337.51</v>
      </c>
      <c r="L27" s="11" t="n">
        <v>491.25</v>
      </c>
      <c r="M27" s="9" t="n">
        <v>1393.640712468193</v>
      </c>
      <c r="N27" s="10" t="inlineStr">
        <is>
          <t>name(0.70)</t>
        </is>
      </c>
    </row>
    <row r="28">
      <c r="A28" s="10" t="inlineStr">
        <is>
          <t>200-999</t>
        </is>
      </c>
      <c r="B28" s="8" t="n">
        <v>223860</v>
      </c>
      <c r="C28" s="10" t="inlineStr">
        <is>
          <t>RW-260731-115427</t>
        </is>
      </c>
      <c r="D28" s="10" t="inlineStr">
        <is>
          <t>PCA - New Oxford</t>
        </is>
      </c>
      <c r="E28" s="10" t="inlineStr">
        <is>
          <t>J63240 - Sam's Club Filtration Pallet Display</t>
        </is>
      </c>
      <c r="F28" s="10" t="inlineStr">
        <is>
          <t>Pallet Cap</t>
        </is>
      </c>
      <c r="G28" s="8" t="n">
        <v>270</v>
      </c>
      <c r="H28" s="10" t="n">
        <v/>
      </c>
      <c r="I28" s="8" t="n"/>
      <c r="J28" s="10" t="n"/>
      <c r="K28" s="11" t="n">
        <v>467.44</v>
      </c>
      <c r="L28" s="11" t="n"/>
      <c r="M28" s="9" t="n"/>
      <c r="N28" s="10" t="inlineStr">
        <is>
          <t>unmatched</t>
        </is>
      </c>
    </row>
    <row r="29">
      <c r="A29" s="10" t="inlineStr">
        <is>
          <t>200-999</t>
        </is>
      </c>
      <c r="B29" s="8" t="n">
        <v>223333</v>
      </c>
      <c r="C29" s="10" t="inlineStr">
        <is>
          <t>RW-260807-140950</t>
        </is>
      </c>
      <c r="D29" s="10" t="inlineStr">
        <is>
          <t>PCA Pennsylvania Acquisition Corporation</t>
        </is>
      </c>
      <c r="E29" s="10" t="inlineStr">
        <is>
          <t>Basic Resources 0456552A</t>
        </is>
      </c>
      <c r="F29" s="10" t="inlineStr">
        <is>
          <t>Tray Insert</t>
        </is>
      </c>
      <c r="G29" s="8" t="n">
        <v>510</v>
      </c>
      <c r="H29" s="10" t="inlineStr">
        <is>
          <t>Tray Insert</t>
        </is>
      </c>
      <c r="I29" s="8" t="n">
        <v>510</v>
      </c>
      <c r="J29" s="10" t="n"/>
      <c r="K29" s="11" t="n">
        <v>1267.62</v>
      </c>
      <c r="L29" s="11" t="n">
        <v>969.98</v>
      </c>
      <c r="M29" s="9" t="n">
        <v>30.68516876636631</v>
      </c>
      <c r="N29" s="10" t="inlineStr">
        <is>
          <t>qty-unique</t>
        </is>
      </c>
    </row>
    <row r="30">
      <c r="A30" s="10" t="inlineStr">
        <is>
          <t>200-999</t>
        </is>
      </c>
      <c r="B30" s="8" t="n">
        <v>222085</v>
      </c>
      <c r="C30" s="10" t="inlineStr">
        <is>
          <t>RW-260622-133707</t>
        </is>
      </c>
      <c r="D30" s="10" t="inlineStr">
        <is>
          <t>Packaging Corporation of America</t>
        </is>
      </c>
      <c r="E30" s="10" t="inlineStr">
        <is>
          <t>Strat Pro Buttermelt PDQ - 2nd Grouping</t>
        </is>
      </c>
      <c r="F30" s="10" t="inlineStr">
        <is>
          <t>Filler - Plain, Scored</t>
        </is>
      </c>
      <c r="G30" s="8" t="n">
        <v>515</v>
      </c>
      <c r="H30" s="10" t="n">
        <v/>
      </c>
      <c r="I30" s="8" t="n"/>
      <c r="J30" s="10" t="n"/>
      <c r="K30" s="11" t="n">
        <v>759.6</v>
      </c>
      <c r="L30" s="11" t="n"/>
      <c r="M30" s="9" t="n"/>
      <c r="N30" s="10" t="inlineStr">
        <is>
          <t>unmatched</t>
        </is>
      </c>
    </row>
    <row r="31">
      <c r="A31" s="10" t="inlineStr">
        <is>
          <t>200-999</t>
        </is>
      </c>
      <c r="B31" s="8" t="n">
        <v>223488</v>
      </c>
      <c r="C31" s="10" t="inlineStr">
        <is>
          <t>RW-260706-094426</t>
        </is>
      </c>
      <c r="D31" s="10" t="inlineStr">
        <is>
          <t>Skybox Packaging, LLC</t>
        </is>
      </c>
      <c r="E31" s="10" t="inlineStr">
        <is>
          <t>Kent Displays Mailer &amp; Insert</t>
        </is>
      </c>
      <c r="F31" s="10" t="inlineStr">
        <is>
          <t>Insert - Plain white 2 sides, CAD Cut</t>
        </is>
      </c>
      <c r="G31" s="8" t="n">
        <v>300</v>
      </c>
      <c r="H31" s="10" t="n">
        <v/>
      </c>
      <c r="I31" s="8" t="n"/>
      <c r="J31" s="10" t="n"/>
      <c r="K31" s="11" t="n">
        <v>1110.58</v>
      </c>
      <c r="L31" s="11" t="n"/>
      <c r="M31" s="9" t="n"/>
      <c r="N31" s="10" t="inlineStr">
        <is>
          <t>unmatched</t>
        </is>
      </c>
    </row>
    <row r="32">
      <c r="A32" s="10" t="inlineStr">
        <is>
          <t>200-999</t>
        </is>
      </c>
      <c r="B32" s="8" t="n">
        <v>223488</v>
      </c>
      <c r="C32" s="10" t="inlineStr">
        <is>
          <t>RW-260706-094426</t>
        </is>
      </c>
      <c r="D32" s="10" t="inlineStr">
        <is>
          <t>Skybox Packaging, LLC</t>
        </is>
      </c>
      <c r="E32" s="10" t="inlineStr">
        <is>
          <t>Kent Displays Mailer &amp; Insert</t>
        </is>
      </c>
      <c r="F32" s="10" t="inlineStr">
        <is>
          <t>Insert - Plain kraft, CAD Cut</t>
        </is>
      </c>
      <c r="G32" s="8" t="n">
        <v>300</v>
      </c>
      <c r="H32" s="10" t="n">
        <v/>
      </c>
      <c r="I32" s="8" t="n"/>
      <c r="J32" s="10" t="n"/>
      <c r="K32" s="11" t="n">
        <v>1062.33</v>
      </c>
      <c r="L32" s="11" t="n"/>
      <c r="M32" s="9" t="n"/>
      <c r="N32" s="10" t="inlineStr">
        <is>
          <t>unmatched</t>
        </is>
      </c>
    </row>
    <row r="33">
      <c r="A33" s="10" t="inlineStr">
        <is>
          <t>1000-4999</t>
        </is>
      </c>
      <c r="B33" s="8" t="n">
        <v>223333</v>
      </c>
      <c r="C33" s="10" t="inlineStr">
        <is>
          <t>RW-260807-140950</t>
        </is>
      </c>
      <c r="D33" s="10" t="inlineStr">
        <is>
          <t>PCA Pennsylvania Acquisition Corporation</t>
        </is>
      </c>
      <c r="E33" s="10" t="inlineStr">
        <is>
          <t>Basic Resources 0456552A</t>
        </is>
      </c>
      <c r="F33" s="10" t="inlineStr">
        <is>
          <t>Tray Insert</t>
        </is>
      </c>
      <c r="G33" s="8" t="n">
        <v>1020</v>
      </c>
      <c r="H33" s="10" t="inlineStr">
        <is>
          <t>Tray Insert</t>
        </is>
      </c>
      <c r="I33" s="8" t="n">
        <v>1020</v>
      </c>
      <c r="J33" s="10" t="n"/>
      <c r="K33" s="11" t="n">
        <v>2098.45</v>
      </c>
      <c r="L33" s="11" t="n">
        <v>1660.9</v>
      </c>
      <c r="M33" s="9" t="n">
        <v>26.34415076163524</v>
      </c>
      <c r="N33" s="10" t="inlineStr">
        <is>
          <t>qty-unique</t>
        </is>
      </c>
    </row>
    <row r="34">
      <c r="A34" s="10" t="inlineStr">
        <is>
          <t>1000-4999</t>
        </is>
      </c>
      <c r="B34" s="8" t="n">
        <v>222085</v>
      </c>
      <c r="C34" s="10" t="inlineStr">
        <is>
          <t>SA-260624-102657</t>
        </is>
      </c>
      <c r="D34" s="10" t="n">
        <v/>
      </c>
      <c r="E34" s="10" t="inlineStr">
        <is>
          <t>STRAT PRO BUTTERMELT PDQ - 2nd Grouping</t>
        </is>
      </c>
      <c r="F34" s="10" t="inlineStr">
        <is>
          <t>Filler - plain, no print, scored</t>
        </is>
      </c>
      <c r="G34" s="8" t="n">
        <v>2000</v>
      </c>
      <c r="H34" s="10" t="n">
        <v/>
      </c>
      <c r="I34" s="8" t="n"/>
      <c r="J34" s="10" t="n"/>
      <c r="K34" s="11" t="n">
        <v>1369.84</v>
      </c>
      <c r="L34" s="11" t="n"/>
      <c r="M34" s="9" t="n"/>
      <c r="N34" s="10" t="inlineStr">
        <is>
          <t>unmatched</t>
        </is>
      </c>
    </row>
    <row r="35">
      <c r="A35" s="10" t="inlineStr">
        <is>
          <t>5000+</t>
        </is>
      </c>
      <c r="B35" s="8" t="n">
        <v>223880</v>
      </c>
      <c r="C35" s="10" t="inlineStr">
        <is>
          <t>RW-260730-115948</t>
        </is>
      </c>
      <c r="D35" s="10" t="inlineStr">
        <is>
          <t>PCA Pennsylvania Acquisition Corporation</t>
        </is>
      </c>
      <c r="E35" s="10" t="inlineStr">
        <is>
          <t>L'Oreal C15 LP COS ZUS01644 Inserts</t>
        </is>
      </c>
      <c r="F35" s="10" t="inlineStr">
        <is>
          <t>Sheet Scored</t>
        </is>
      </c>
      <c r="G35" s="8" t="n">
        <v>22000</v>
      </c>
      <c r="H35" s="10" t="inlineStr">
        <is>
          <t>Filler</t>
        </is>
      </c>
      <c r="I35" s="8" t="n">
        <v>22000</v>
      </c>
      <c r="J35" s="10" t="n"/>
      <c r="K35" s="11" t="n">
        <v>3416.08</v>
      </c>
      <c r="L35" s="11" t="n">
        <v>2279.73</v>
      </c>
      <c r="M35" s="9" t="n">
        <v>49.84581507459217</v>
      </c>
      <c r="N35" s="10" t="inlineStr">
        <is>
          <t>qty-unique</t>
        </is>
      </c>
    </row>
    <row r="36">
      <c r="A36" s="10" t="inlineStr">
        <is>
          <t>5000+</t>
        </is>
      </c>
      <c r="B36" s="8" t="n">
        <v>224350</v>
      </c>
      <c r="C36" s="10" t="inlineStr">
        <is>
          <t>RW-260825-115948</t>
        </is>
      </c>
      <c r="D36" s="10" t="inlineStr">
        <is>
          <t>PCA Pennsylvania Acquisition Corporation</t>
        </is>
      </c>
      <c r="E36" s="10" t="inlineStr">
        <is>
          <t xml:space="preserve">L'Oreal C15 LP COS </t>
        </is>
      </c>
      <c r="F36" s="10" t="inlineStr">
        <is>
          <t>Inserts</t>
        </is>
      </c>
      <c r="G36" s="8" t="n">
        <v>12000</v>
      </c>
      <c r="H36" s="10" t="inlineStr">
        <is>
          <t>Filler</t>
        </is>
      </c>
      <c r="I36" s="8" t="n">
        <v>12000</v>
      </c>
      <c r="J36" s="10" t="n"/>
      <c r="K36" s="11" t="n">
        <v>2454.34</v>
      </c>
      <c r="L36" s="11" t="n">
        <v>1353.64</v>
      </c>
      <c r="M36" s="9" t="n">
        <v>81.31408646316598</v>
      </c>
      <c r="N36" s="10" t="inlineStr">
        <is>
          <t>exact</t>
        </is>
      </c>
    </row>
    <row r="37">
      <c r="A37" s="10" t="inlineStr">
        <is>
          <t>5000+</t>
        </is>
      </c>
      <c r="B37" s="8" t="n">
        <v>223880</v>
      </c>
      <c r="C37" s="10" t="inlineStr">
        <is>
          <t>RW-260803-100141</t>
        </is>
      </c>
      <c r="D37" s="10" t="n">
        <v/>
      </c>
      <c r="E37" s="10" t="inlineStr">
        <is>
          <t>Can Void Fill</t>
        </is>
      </c>
      <c r="F37" s="10" t="inlineStr">
        <is>
          <t>Sheet Scored</t>
        </is>
      </c>
      <c r="G37" s="8" t="n">
        <v>22000</v>
      </c>
      <c r="H37" s="10" t="n">
        <v/>
      </c>
      <c r="I37" s="8" t="n"/>
      <c r="J37" s="10" t="n"/>
      <c r="K37" s="11" t="n">
        <v>3416.08</v>
      </c>
      <c r="L37" s="11" t="n"/>
      <c r="M37" s="9" t="n"/>
      <c r="N37" s="10" t="inlineStr">
        <is>
          <t>no-iq-rows</t>
        </is>
      </c>
    </row>
  </sheetData>
  <autoFilter ref="A4:N37"/>
  <mergeCells count="2">
    <mergeCell ref="A2:L2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6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26" customWidth="1" min="4" max="4"/>
    <col width="38" customWidth="1" min="5" max="5"/>
    <col width="26" customWidth="1" min="6" max="6"/>
    <col width="10" customWidth="1" min="7" max="7"/>
    <col width="26" customWidth="1" min="8" max="8"/>
    <col width="10" customWidth="1" min="9" max="9"/>
    <col width="14" customWidth="1" min="10" max="10"/>
    <col width="16" customWidth="1" min="11" max="11"/>
    <col width="16" customWidth="1" min="12" max="12"/>
    <col width="14" customWidth="1" min="13" max="13"/>
    <col width="20" customWidth="1" min="14" max="14"/>
  </cols>
  <sheetData>
    <row r="1">
      <c r="A1" s="1" t="inlineStr">
        <is>
          <t>Print + Cut List — Component List (v2, corrected join)</t>
        </is>
      </c>
    </row>
    <row r="2">
      <c r="A2" s="2" t="inlineStr">
        <is>
          <t>Rows are components. Match Method shows how each SPOT row was paired to iQuote.</t>
        </is>
      </c>
    </row>
    <row r="4">
      <c r="A4" s="6" t="inlineStr">
        <is>
          <t>Qty Band</t>
        </is>
      </c>
      <c r="B4" s="6" t="inlineStr">
        <is>
          <t>iQuote Estimate #</t>
        </is>
      </c>
      <c r="C4" s="6" t="inlineStr">
        <is>
          <t>SPOT Estimate #</t>
        </is>
      </c>
      <c r="D4" s="6" t="inlineStr">
        <is>
          <t>Customer</t>
        </is>
      </c>
      <c r="E4" s="6" t="inlineStr">
        <is>
          <t>Project Name</t>
        </is>
      </c>
      <c r="F4" s="6" t="inlineStr">
        <is>
          <t>SPOT Component</t>
        </is>
      </c>
      <c r="G4" s="6" t="inlineStr">
        <is>
          <t>Qty</t>
        </is>
      </c>
      <c r="H4" s="6" t="inlineStr">
        <is>
          <t>iQuote Product</t>
        </is>
      </c>
      <c r="I4" s="6" t="inlineStr">
        <is>
          <t>iQuote Qty</t>
        </is>
      </c>
      <c r="J4" s="6" t="inlineStr">
        <is>
          <t>Print Mode</t>
        </is>
      </c>
      <c r="K4" s="6" t="inlineStr">
        <is>
          <t>SPOT Sell Total</t>
        </is>
      </c>
      <c r="L4" s="6" t="inlineStr">
        <is>
          <t>iQuote Total</t>
        </is>
      </c>
      <c r="M4" s="6" t="inlineStr">
        <is>
          <t>Variance %</t>
        </is>
      </c>
      <c r="N4" s="6" t="inlineStr">
        <is>
          <t>Match Method</t>
        </is>
      </c>
    </row>
    <row r="5">
      <c r="A5" s="10" t="inlineStr">
        <is>
          <t>1-49</t>
        </is>
      </c>
      <c r="B5" s="8" t="n">
        <v>222777</v>
      </c>
      <c r="C5" s="10" t="inlineStr">
        <is>
          <t>RW-260806-134431</t>
        </is>
      </c>
      <c r="D5" s="10" t="inlineStr">
        <is>
          <t>Apex Display Group</t>
        </is>
      </c>
      <c r="E5" s="10" t="inlineStr">
        <is>
          <t>1528-31 4 Shelf Hutch Clipped Mockup</t>
        </is>
      </c>
      <c r="F5" s="10" t="inlineStr">
        <is>
          <t>Base Tray</t>
        </is>
      </c>
      <c r="G5" s="8" t="n">
        <v>2</v>
      </c>
      <c r="H5" s="10" t="inlineStr">
        <is>
          <t>Base Tray</t>
        </is>
      </c>
      <c r="I5" s="8" t="n">
        <v>2</v>
      </c>
      <c r="J5" s="10" t="inlineStr">
        <is>
          <t>Gloss</t>
        </is>
      </c>
      <c r="K5" s="11" t="n">
        <v>321.97</v>
      </c>
      <c r="L5" s="11" t="n">
        <v>298.33</v>
      </c>
      <c r="M5" s="9" t="n">
        <v>7.924110883920505</v>
      </c>
      <c r="N5" s="10" t="inlineStr">
        <is>
          <t>qty-tie+name(1.00)</t>
        </is>
      </c>
    </row>
    <row r="6">
      <c r="A6" s="10" t="inlineStr">
        <is>
          <t>1-49</t>
        </is>
      </c>
      <c r="B6" s="8" t="n">
        <v>222777</v>
      </c>
      <c r="C6" s="10" t="inlineStr">
        <is>
          <t>RW-260806-134431</t>
        </is>
      </c>
      <c r="D6" s="10" t="inlineStr">
        <is>
          <t>Apex Display Group</t>
        </is>
      </c>
      <c r="E6" s="10" t="inlineStr">
        <is>
          <t>1528-31 4 Shelf Hutch Clipped Mockup</t>
        </is>
      </c>
      <c r="F6" s="10" t="inlineStr">
        <is>
          <t>Graphic Panel</t>
        </is>
      </c>
      <c r="G6" s="8" t="n">
        <v>2</v>
      </c>
      <c r="H6" s="10" t="n">
        <v/>
      </c>
      <c r="I6" s="8" t="n"/>
      <c r="J6" s="10" t="inlineStr">
        <is>
          <t>Satin</t>
        </is>
      </c>
      <c r="K6" s="11" t="n">
        <v>323.93</v>
      </c>
      <c r="L6" s="11" t="n"/>
      <c r="M6" s="9" t="n"/>
      <c r="N6" s="10" t="inlineStr">
        <is>
          <t>unmatched</t>
        </is>
      </c>
    </row>
    <row r="7">
      <c r="A7" s="10" t="inlineStr">
        <is>
          <t>1-49</t>
        </is>
      </c>
      <c r="B7" s="8" t="n">
        <v>222777</v>
      </c>
      <c r="C7" s="10" t="inlineStr">
        <is>
          <t>RW-260806-134431</t>
        </is>
      </c>
      <c r="D7" s="10" t="inlineStr">
        <is>
          <t>Apex Display Group</t>
        </is>
      </c>
      <c r="E7" s="10" t="inlineStr">
        <is>
          <t>1528-31 4 Shelf Hutch Clipped Mockup</t>
        </is>
      </c>
      <c r="F7" s="10" t="inlineStr">
        <is>
          <t>Header</t>
        </is>
      </c>
      <c r="G7" s="8" t="n">
        <v>2</v>
      </c>
      <c r="H7" s="10" t="inlineStr">
        <is>
          <t>Header</t>
        </is>
      </c>
      <c r="I7" s="8" t="n">
        <v>2</v>
      </c>
      <c r="J7" s="10" t="inlineStr">
        <is>
          <t>Gloss</t>
        </is>
      </c>
      <c r="K7" s="11" t="n">
        <v>318.06</v>
      </c>
      <c r="L7" s="11" t="n">
        <v>220.25</v>
      </c>
      <c r="M7" s="9" t="n">
        <v>44.40862656072645</v>
      </c>
      <c r="N7" s="10" t="inlineStr">
        <is>
          <t>qty-tie+name(1.00)</t>
        </is>
      </c>
    </row>
    <row r="8">
      <c r="A8" s="10" t="inlineStr">
        <is>
          <t>1-49</t>
        </is>
      </c>
      <c r="B8" s="8" t="n">
        <v>222809</v>
      </c>
      <c r="C8" s="10" t="inlineStr">
        <is>
          <t>RW-260806-155449</t>
        </is>
      </c>
      <c r="D8" s="10" t="inlineStr">
        <is>
          <t>Apex Display Group</t>
        </is>
      </c>
      <c r="E8" s="10" t="inlineStr">
        <is>
          <t>RFQ #2370-22 mockup - 36ct Mayonnaise Drop Down Hutch</t>
        </is>
      </c>
      <c r="F8" s="10" t="inlineStr">
        <is>
          <t>Header — 12-inch viewable (4-out die)</t>
        </is>
      </c>
      <c r="G8" s="8" t="n">
        <v>1</v>
      </c>
      <c r="H8" s="10" t="n">
        <v/>
      </c>
      <c r="I8" s="8" t="n"/>
      <c r="J8" s="10" t="inlineStr">
        <is>
          <t>Gloss</t>
        </is>
      </c>
      <c r="K8" s="11" t="n">
        <v>364.03</v>
      </c>
      <c r="L8" s="11" t="n"/>
      <c r="M8" s="9" t="n"/>
      <c r="N8" s="10" t="inlineStr">
        <is>
          <t>unmatched</t>
        </is>
      </c>
    </row>
    <row r="9">
      <c r="A9" s="10" t="inlineStr">
        <is>
          <t>1-49</t>
        </is>
      </c>
      <c r="B9" s="8" t="n">
        <v>222809</v>
      </c>
      <c r="C9" s="10" t="inlineStr">
        <is>
          <t>RW-260806-155449</t>
        </is>
      </c>
      <c r="D9" s="10" t="inlineStr">
        <is>
          <t>Apex Display Group</t>
        </is>
      </c>
      <c r="E9" s="10" t="inlineStr">
        <is>
          <t>RFQ #2370-22 mockup - 36ct Mayonnaise Drop Down Hutch</t>
        </is>
      </c>
      <c r="F9" s="10" t="inlineStr">
        <is>
          <t>Platform — 12ct (3 per blank)</t>
        </is>
      </c>
      <c r="G9" s="8" t="n">
        <v>1</v>
      </c>
      <c r="H9" s="10" t="n">
        <v/>
      </c>
      <c r="I9" s="8" t="n"/>
      <c r="J9" s="10" t="inlineStr">
        <is>
          <t>Gloss</t>
        </is>
      </c>
      <c r="K9" s="11" t="n">
        <v>317.92</v>
      </c>
      <c r="L9" s="11" t="n"/>
      <c r="M9" s="9" t="n"/>
      <c r="N9" s="10" t="inlineStr">
        <is>
          <t>unmatched</t>
        </is>
      </c>
    </row>
    <row r="10">
      <c r="A10" s="10" t="inlineStr">
        <is>
          <t>1-49</t>
        </is>
      </c>
      <c r="B10" s="8" t="n">
        <v>223672</v>
      </c>
      <c r="C10" s="10" t="inlineStr">
        <is>
          <t>RW-260807-151228</t>
        </is>
      </c>
      <c r="D10" s="10" t="inlineStr">
        <is>
          <t>Apex Display Group</t>
        </is>
      </c>
      <c r="E10" s="10" t="inlineStr">
        <is>
          <t>2586-01 Universal 36/4284 Balconi</t>
        </is>
      </c>
      <c r="F10" s="10" t="inlineStr">
        <is>
          <t>Item 3</t>
        </is>
      </c>
      <c r="G10" s="8" t="n">
        <v>2</v>
      </c>
      <c r="H10" s="10" t="n">
        <v/>
      </c>
      <c r="I10" s="8" t="n"/>
      <c r="J10" s="10" t="inlineStr">
        <is>
          <t>Satin</t>
        </is>
      </c>
      <c r="K10" s="11" t="n">
        <v>313.74</v>
      </c>
      <c r="L10" s="11" t="n"/>
      <c r="M10" s="9" t="n"/>
      <c r="N10" s="10" t="inlineStr">
        <is>
          <t>unmatched</t>
        </is>
      </c>
    </row>
    <row r="11">
      <c r="A11" s="10" t="inlineStr">
        <is>
          <t>1-49</t>
        </is>
      </c>
      <c r="B11" s="8" t="n">
        <v>223677</v>
      </c>
      <c r="C11" s="10" t="inlineStr">
        <is>
          <t>RW-260807-152050</t>
        </is>
      </c>
      <c r="D11" s="10" t="inlineStr">
        <is>
          <t>Apex Display Group</t>
        </is>
      </c>
      <c r="E11" s="10" t="inlineStr">
        <is>
          <t>Universal 36/42/54 Hot Wheels</t>
        </is>
      </c>
      <c r="F11" s="10" t="inlineStr">
        <is>
          <t>Hutch</t>
        </is>
      </c>
      <c r="G11" s="8" t="n">
        <v>2</v>
      </c>
      <c r="H11" s="10" t="n">
        <v/>
      </c>
      <c r="I11" s="8" t="n"/>
      <c r="J11" s="10" t="inlineStr">
        <is>
          <t>Gloss</t>
        </is>
      </c>
      <c r="K11" s="11" t="n">
        <v>365.72</v>
      </c>
      <c r="L11" s="11" t="n"/>
      <c r="M11" s="9" t="n"/>
      <c r="N11" s="10" t="inlineStr">
        <is>
          <t>unmatched</t>
        </is>
      </c>
    </row>
    <row r="12">
      <c r="A12" s="10" t="inlineStr">
        <is>
          <t>1-49</t>
        </is>
      </c>
      <c r="B12" s="8" t="n">
        <v>223677</v>
      </c>
      <c r="C12" s="10" t="inlineStr">
        <is>
          <t>RW-260807-152050</t>
        </is>
      </c>
      <c r="D12" s="10" t="inlineStr">
        <is>
          <t>Apex Display Group</t>
        </is>
      </c>
      <c r="E12" s="10" t="inlineStr">
        <is>
          <t>Universal 36/42/54 Hot Wheels</t>
        </is>
      </c>
      <c r="F12" s="10" t="inlineStr">
        <is>
          <t>Shelf Set</t>
        </is>
      </c>
      <c r="G12" s="8" t="n">
        <v>2</v>
      </c>
      <c r="H12" s="10" t="n">
        <v/>
      </c>
      <c r="I12" s="8" t="n"/>
      <c r="J12" s="10" t="inlineStr">
        <is>
          <t>Gloss</t>
        </is>
      </c>
      <c r="K12" s="11" t="n">
        <v>371.22</v>
      </c>
      <c r="L12" s="11" t="n"/>
      <c r="M12" s="9" t="n"/>
      <c r="N12" s="10" t="inlineStr">
        <is>
          <t>unmatched</t>
        </is>
      </c>
    </row>
    <row r="13">
      <c r="A13" s="10" t="inlineStr">
        <is>
          <t>1-49</t>
        </is>
      </c>
      <c r="B13" s="8" t="n">
        <v>223677</v>
      </c>
      <c r="C13" s="10" t="inlineStr">
        <is>
          <t>RW-260807-152050</t>
        </is>
      </c>
      <c r="D13" s="10" t="inlineStr">
        <is>
          <t>Apex Display Group</t>
        </is>
      </c>
      <c r="E13" s="10" t="inlineStr">
        <is>
          <t>Universal 36/42/54 Hot Wheels</t>
        </is>
      </c>
      <c r="F13" s="10" t="inlineStr">
        <is>
          <t>Item 3</t>
        </is>
      </c>
      <c r="G13" s="8" t="n">
        <v>2</v>
      </c>
      <c r="H13" s="10" t="n">
        <v/>
      </c>
      <c r="I13" s="8" t="n"/>
      <c r="J13" s="10" t="inlineStr">
        <is>
          <t>Satin</t>
        </is>
      </c>
      <c r="K13" s="11" t="n">
        <v>313.74</v>
      </c>
      <c r="L13" s="11" t="n"/>
      <c r="M13" s="9" t="n"/>
      <c r="N13" s="10" t="inlineStr">
        <is>
          <t>unmatched</t>
        </is>
      </c>
    </row>
    <row r="14">
      <c r="A14" s="10" t="inlineStr">
        <is>
          <t>1-49</t>
        </is>
      </c>
      <c r="B14" s="8" t="n">
        <v>222935</v>
      </c>
      <c r="C14" s="10" t="inlineStr">
        <is>
          <t>RW-260806-161257</t>
        </is>
      </c>
      <c r="D14" s="10" t="inlineStr">
        <is>
          <t>International Paper Retail Pkg &amp; Display</t>
        </is>
      </c>
      <c r="E14" s="10" t="inlineStr">
        <is>
          <t>Proj# 26342 &amp; 26530 / PO 090259-00</t>
        </is>
      </c>
      <c r="F14" s="10" t="inlineStr">
        <is>
          <t>Tray (BDICO59046) — 15 ea</t>
        </is>
      </c>
      <c r="G14" s="8" t="n">
        <v>15</v>
      </c>
      <c r="H14" s="10" t="n">
        <v/>
      </c>
      <c r="I14" s="8" t="n"/>
      <c r="J14" s="10" t="inlineStr">
        <is>
          <t>Satin</t>
        </is>
      </c>
      <c r="K14" s="11" t="n">
        <v>786.47</v>
      </c>
      <c r="L14" s="11" t="n"/>
      <c r="M14" s="9" t="n"/>
      <c r="N14" s="10" t="inlineStr">
        <is>
          <t>unmatched</t>
        </is>
      </c>
    </row>
    <row r="15">
      <c r="A15" s="10" t="inlineStr">
        <is>
          <t>1-49</t>
        </is>
      </c>
      <c r="B15" s="8" t="n">
        <v>223065</v>
      </c>
      <c r="C15" s="10" t="inlineStr">
        <is>
          <t>RW-260807-082738</t>
        </is>
      </c>
      <c r="D15" s="10" t="inlineStr">
        <is>
          <t>International Paper Retail Pkg &amp; Display</t>
        </is>
      </c>
      <c r="E15" s="10" t="inlineStr">
        <is>
          <t>DWGCU150HP (HD GC Under $150 HP)</t>
        </is>
      </c>
      <c r="F15" s="10" t="inlineStr">
        <is>
          <t>Wedge Header B</t>
        </is>
      </c>
      <c r="G15" s="8" t="n">
        <v>6</v>
      </c>
      <c r="H15" s="10" t="inlineStr">
        <is>
          <t>Wedge Header B</t>
        </is>
      </c>
      <c r="I15" s="8" t="n">
        <v>3</v>
      </c>
      <c r="J15" s="10" t="inlineStr">
        <is>
          <t>Satin</t>
        </is>
      </c>
      <c r="K15" s="11" t="n">
        <v>309.66</v>
      </c>
      <c r="L15" s="11" t="n">
        <v>298.1</v>
      </c>
      <c r="M15" s="9" t="n">
        <v>3.87789332438779</v>
      </c>
      <c r="N15" s="10" t="inlineStr">
        <is>
          <t>name(1.00)</t>
        </is>
      </c>
    </row>
    <row r="16">
      <c r="A16" s="10" t="inlineStr">
        <is>
          <t>1-49</t>
        </is>
      </c>
      <c r="B16" s="8" t="n">
        <v>223706</v>
      </c>
      <c r="C16" s="10" t="inlineStr">
        <is>
          <t>RW-260717-111921</t>
        </is>
      </c>
      <c r="D16" s="10" t="inlineStr">
        <is>
          <t>Jamestown Container Corp. - Falconer</t>
        </is>
      </c>
      <c r="E16" s="10" t="inlineStr">
        <is>
          <t>Re-Frame Display - Walmart (HOT Prototype)</t>
        </is>
      </c>
      <c r="F16" s="10" t="inlineStr">
        <is>
          <t>Shelf</t>
        </is>
      </c>
      <c r="G16" s="8" t="n">
        <v>2</v>
      </c>
      <c r="H16" s="10" t="n">
        <v/>
      </c>
      <c r="I16" s="8" t="n"/>
      <c r="J16" s="10" t="inlineStr">
        <is>
          <t>Satin</t>
        </is>
      </c>
      <c r="K16" s="11" t="n">
        <v>511.19</v>
      </c>
      <c r="L16" s="11" t="n"/>
      <c r="M16" s="9" t="n"/>
      <c r="N16" s="10" t="inlineStr">
        <is>
          <t>unmatched</t>
        </is>
      </c>
    </row>
    <row r="17">
      <c r="A17" s="10" t="inlineStr">
        <is>
          <t>1-49</t>
        </is>
      </c>
      <c r="B17" s="8" t="n">
        <v>223706</v>
      </c>
      <c r="C17" s="10" t="inlineStr">
        <is>
          <t>RW-260717-111921</t>
        </is>
      </c>
      <c r="D17" s="10" t="inlineStr">
        <is>
          <t>Jamestown Container Corp. - Falconer</t>
        </is>
      </c>
      <c r="E17" s="10" t="inlineStr">
        <is>
          <t>Re-Frame Display - Walmart (HOT Prototype)</t>
        </is>
      </c>
      <c r="F17" s="10" t="inlineStr">
        <is>
          <t>Base Tray</t>
        </is>
      </c>
      <c r="G17" s="8" t="n">
        <v>2</v>
      </c>
      <c r="H17" s="10" t="inlineStr">
        <is>
          <t>2605379 Base Tray</t>
        </is>
      </c>
      <c r="I17" s="8" t="n">
        <v>2</v>
      </c>
      <c r="J17" s="10" t="inlineStr">
        <is>
          <t>Satin</t>
        </is>
      </c>
      <c r="K17" s="11" t="n">
        <v>482.62</v>
      </c>
      <c r="L17" s="11" t="n">
        <v>290.57</v>
      </c>
      <c r="M17" s="9" t="n">
        <v>66.09422858519463</v>
      </c>
      <c r="N17" s="10" t="inlineStr">
        <is>
          <t>qty-tie+name(0.69)</t>
        </is>
      </c>
    </row>
    <row r="18">
      <c r="A18" s="10" t="inlineStr">
        <is>
          <t>1-49</t>
        </is>
      </c>
      <c r="B18" s="8" t="n">
        <v>223706</v>
      </c>
      <c r="C18" s="10" t="inlineStr">
        <is>
          <t>RW-260717-111921</t>
        </is>
      </c>
      <c r="D18" s="10" t="inlineStr">
        <is>
          <t>Jamestown Container Corp. - Falconer</t>
        </is>
      </c>
      <c r="E18" s="10" t="inlineStr">
        <is>
          <t>Re-Frame Display - Walmart (HOT Prototype)</t>
        </is>
      </c>
      <c r="F18" s="10" t="inlineStr">
        <is>
          <t>Header</t>
        </is>
      </c>
      <c r="G18" s="8" t="n">
        <v>2</v>
      </c>
      <c r="H18" s="10" t="inlineStr">
        <is>
          <t>2605380 Header</t>
        </is>
      </c>
      <c r="I18" s="8" t="n">
        <v>2</v>
      </c>
      <c r="J18" s="10" t="inlineStr">
        <is>
          <t>Satin</t>
        </is>
      </c>
      <c r="K18" s="11" t="n">
        <v>405.49</v>
      </c>
      <c r="L18" s="11" t="n">
        <v>226.42</v>
      </c>
      <c r="M18" s="9" t="n">
        <v>79.08753643671055</v>
      </c>
      <c r="N18" s="10" t="inlineStr">
        <is>
          <t>qty-tie+name(0.60)</t>
        </is>
      </c>
    </row>
    <row r="19">
      <c r="A19" s="10" t="inlineStr">
        <is>
          <t>1-49</t>
        </is>
      </c>
      <c r="B19" s="8" t="n">
        <v>223706</v>
      </c>
      <c r="C19" s="10" t="inlineStr">
        <is>
          <t>RW-260717-111921</t>
        </is>
      </c>
      <c r="D19" s="10" t="inlineStr">
        <is>
          <t>Jamestown Container Corp. - Falconer</t>
        </is>
      </c>
      <c r="E19" s="10" t="inlineStr">
        <is>
          <t>Re-Frame Display - Walmart (HOT Prototype)</t>
        </is>
      </c>
      <c r="F19" s="10" t="inlineStr">
        <is>
          <t>Display Tray</t>
        </is>
      </c>
      <c r="G19" s="8" t="n">
        <v>2</v>
      </c>
      <c r="H19" s="10" t="inlineStr">
        <is>
          <t>2605382 Display Tray</t>
        </is>
      </c>
      <c r="I19" s="8" t="n">
        <v>2</v>
      </c>
      <c r="J19" s="10" t="inlineStr">
        <is>
          <t>Satin</t>
        </is>
      </c>
      <c r="K19" s="11" t="n">
        <v>409.5</v>
      </c>
      <c r="L19" s="11" t="n">
        <v>258.67</v>
      </c>
      <c r="M19" s="9" t="n">
        <v>58.30981559515984</v>
      </c>
      <c r="N19" s="10" t="inlineStr">
        <is>
          <t>qty-tie+name(0.75)</t>
        </is>
      </c>
    </row>
    <row r="20">
      <c r="A20" s="10" t="inlineStr">
        <is>
          <t>1-49</t>
        </is>
      </c>
      <c r="B20" s="8" t="n">
        <v>223057</v>
      </c>
      <c r="C20" s="10" t="inlineStr">
        <is>
          <t>RW-260807-082050</t>
        </is>
      </c>
      <c r="D20" s="10" t="inlineStr">
        <is>
          <t>Massillon Container</t>
        </is>
      </c>
      <c r="E20" s="10" t="inlineStr">
        <is>
          <t>Ten Point</t>
        </is>
      </c>
      <c r="F20" s="10" t="inlineStr">
        <is>
          <t>Item 2</t>
        </is>
      </c>
      <c r="G20" s="8" t="n">
        <v>30</v>
      </c>
      <c r="H20" s="10" t="n">
        <v/>
      </c>
      <c r="I20" s="8" t="n"/>
      <c r="J20" s="10" t="inlineStr">
        <is>
          <t>Satin</t>
        </is>
      </c>
      <c r="K20" s="11" t="n">
        <v>557.23</v>
      </c>
      <c r="L20" s="11" t="n"/>
      <c r="M20" s="9" t="n"/>
      <c r="N20" s="10" t="inlineStr">
        <is>
          <t>unmatched</t>
        </is>
      </c>
    </row>
    <row r="21">
      <c r="A21" s="10" t="inlineStr">
        <is>
          <t>1-49</t>
        </is>
      </c>
      <c r="B21" s="8" t="n">
        <v>222769</v>
      </c>
      <c r="C21" s="10" t="inlineStr">
        <is>
          <t>RW-260806-132924</t>
        </is>
      </c>
      <c r="D21" s="10" t="inlineStr">
        <is>
          <t>PCA - Akron</t>
        </is>
      </c>
      <c r="E21" s="10" t="inlineStr">
        <is>
          <t>Ridge Tool</t>
        </is>
      </c>
      <c r="F21" s="10" t="inlineStr">
        <is>
          <t>944-425-077</t>
        </is>
      </c>
      <c r="G21" s="8" t="n">
        <v>20</v>
      </c>
      <c r="H21" s="10" t="inlineStr">
        <is>
          <t>944-425-077</t>
        </is>
      </c>
      <c r="I21" s="8" t="n">
        <v>20</v>
      </c>
      <c r="J21" s="10" t="inlineStr">
        <is>
          <t>Gloss</t>
        </is>
      </c>
      <c r="K21" s="11" t="n">
        <v>899.76</v>
      </c>
      <c r="L21" s="11" t="n">
        <v>573.36</v>
      </c>
      <c r="M21" s="9" t="n">
        <v>56.92758476349936</v>
      </c>
      <c r="N21" s="10" t="inlineStr">
        <is>
          <t>qty-unique</t>
        </is>
      </c>
    </row>
    <row r="22">
      <c r="A22" s="10" t="inlineStr">
        <is>
          <t>1-49</t>
        </is>
      </c>
      <c r="B22" s="8" t="n">
        <v>223105</v>
      </c>
      <c r="C22" s="10" t="inlineStr">
        <is>
          <t>RW-260807-132555</t>
        </is>
      </c>
      <c r="D22" s="10" t="inlineStr">
        <is>
          <t>PCA - Ashland</t>
        </is>
      </c>
      <c r="E22" s="10" t="inlineStr">
        <is>
          <t>Plantation Products</t>
        </is>
      </c>
      <c r="F22" s="10" t="inlineStr">
        <is>
          <t>Side Wrap</t>
        </is>
      </c>
      <c r="G22" s="8" t="n">
        <v>4</v>
      </c>
      <c r="H22" s="10" t="inlineStr">
        <is>
          <t>Side Wrap</t>
        </is>
      </c>
      <c r="I22" s="8" t="n">
        <v>4</v>
      </c>
      <c r="J22" s="10" t="inlineStr">
        <is>
          <t>Satin</t>
        </is>
      </c>
      <c r="K22" s="11" t="n">
        <v>524.96</v>
      </c>
      <c r="L22" s="11" t="n">
        <v>414.02</v>
      </c>
      <c r="M22" s="9" t="n">
        <v>26.79580696584707</v>
      </c>
      <c r="N22" s="10" t="inlineStr">
        <is>
          <t>qty-unique</t>
        </is>
      </c>
    </row>
    <row r="23">
      <c r="A23" s="10" t="inlineStr">
        <is>
          <t>1-49</t>
        </is>
      </c>
      <c r="B23" s="8" t="n">
        <v>224227</v>
      </c>
      <c r="C23" s="10" t="inlineStr">
        <is>
          <t>CS-260826-155317</t>
        </is>
      </c>
      <c r="D23" s="10" t="inlineStr">
        <is>
          <t>PCA- New Oxford</t>
        </is>
      </c>
      <c r="E23" s="10" t="inlineStr">
        <is>
          <t>Crayola Meijer 48ft POG - Inline HDR Front 12 Versions</t>
        </is>
      </c>
      <c r="F23" s="10" t="inlineStr">
        <is>
          <t>Display Header — Version 1 of 12 (#2510221257-1 Scribble Purple)</t>
        </is>
      </c>
      <c r="G23" s="8" t="n">
        <v>1</v>
      </c>
      <c r="H23" s="10" t="inlineStr">
        <is>
          <t>#2510221257-1 - Scribble Purple</t>
        </is>
      </c>
      <c r="I23" s="8" t="n">
        <v>1</v>
      </c>
      <c r="J23" s="10" t="inlineStr">
        <is>
          <t>Gloss</t>
        </is>
      </c>
      <c r="K23" s="11" t="n">
        <v>379.78</v>
      </c>
      <c r="L23" s="11" t="n">
        <v>369.76</v>
      </c>
      <c r="M23" s="9" t="n">
        <v>2.709865858935521</v>
      </c>
      <c r="N23" s="10" t="inlineStr">
        <is>
          <t>qty-tie+name(0.65)</t>
        </is>
      </c>
    </row>
    <row r="24">
      <c r="A24" s="10" t="inlineStr">
        <is>
          <t>1-49</t>
        </is>
      </c>
      <c r="B24" s="8" t="n">
        <v>224227</v>
      </c>
      <c r="C24" s="10" t="inlineStr">
        <is>
          <t>CS-260826-155317</t>
        </is>
      </c>
      <c r="D24" s="10" t="inlineStr">
        <is>
          <t>PCA- New Oxford</t>
        </is>
      </c>
      <c r="E24" s="10" t="inlineStr">
        <is>
          <t>Crayola Meijer 48ft POG - Inline HDR Front 12 Versions</t>
        </is>
      </c>
      <c r="F24" s="10" t="inlineStr">
        <is>
          <t>Display Header — Version 2 of 12 (Sculp &amp; Paine)</t>
        </is>
      </c>
      <c r="G24" s="8" t="n">
        <v>1</v>
      </c>
      <c r="H24" s="10" t="n">
        <v/>
      </c>
      <c r="I24" s="8" t="n"/>
      <c r="J24" s="10" t="inlineStr">
        <is>
          <t>Gloss</t>
        </is>
      </c>
      <c r="K24" s="11" t="n">
        <v>379.78</v>
      </c>
      <c r="L24" s="11" t="n"/>
      <c r="M24" s="9" t="n"/>
      <c r="N24" s="10" t="inlineStr">
        <is>
          <t>unmatched</t>
        </is>
      </c>
    </row>
    <row r="25">
      <c r="A25" s="10" t="inlineStr">
        <is>
          <t>1-49</t>
        </is>
      </c>
      <c r="B25" s="8" t="n">
        <v>224227</v>
      </c>
      <c r="C25" s="10" t="inlineStr">
        <is>
          <t>CS-260826-155317</t>
        </is>
      </c>
      <c r="D25" s="10" t="inlineStr">
        <is>
          <t>PCA- New Oxford</t>
        </is>
      </c>
      <c r="E25" s="10" t="inlineStr">
        <is>
          <t>Crayola Meijer 48ft POG - Inline HDR Front 12 Versions</t>
        </is>
      </c>
      <c r="F25" s="10" t="inlineStr">
        <is>
          <t>Display Header — Version 3 of 12 (Little Artists #1 Blue)</t>
        </is>
      </c>
      <c r="G25" s="8" t="n">
        <v>1</v>
      </c>
      <c r="H25" s="10" t="inlineStr">
        <is>
          <t>Little Artists #1 Blue</t>
        </is>
      </c>
      <c r="I25" s="8" t="n">
        <v>1</v>
      </c>
      <c r="J25" s="10" t="inlineStr">
        <is>
          <t>Gloss</t>
        </is>
      </c>
      <c r="K25" s="11" t="n">
        <v>379.78</v>
      </c>
      <c r="L25" s="11" t="n">
        <v>289.17</v>
      </c>
      <c r="M25" s="9" t="n">
        <v>31.33450911228687</v>
      </c>
      <c r="N25" s="10" t="inlineStr">
        <is>
          <t>qty-tie+name(0.59)</t>
        </is>
      </c>
    </row>
    <row r="26">
      <c r="A26" s="10" t="inlineStr">
        <is>
          <t>1-49</t>
        </is>
      </c>
      <c r="B26" s="8" t="n">
        <v>224227</v>
      </c>
      <c r="C26" s="10" t="inlineStr">
        <is>
          <t>CS-260826-155317</t>
        </is>
      </c>
      <c r="D26" s="10" t="inlineStr">
        <is>
          <t>PCA- New Oxford</t>
        </is>
      </c>
      <c r="E26" s="10" t="inlineStr">
        <is>
          <t>Crayola Meijer 48ft POG - Inline HDR Front 12 Versions</t>
        </is>
      </c>
      <c r="F26" s="10" t="inlineStr">
        <is>
          <t>Display Header — Version 4 of 12 (Gifts &amp; Kits #2)</t>
        </is>
      </c>
      <c r="G26" s="8" t="n">
        <v>1</v>
      </c>
      <c r="H26" s="10" t="n">
        <v/>
      </c>
      <c r="I26" s="8" t="n"/>
      <c r="J26" s="10" t="inlineStr">
        <is>
          <t>Gloss</t>
        </is>
      </c>
      <c r="K26" s="11" t="n">
        <v>379.78</v>
      </c>
      <c r="L26" s="11" t="n"/>
      <c r="M26" s="9" t="n"/>
      <c r="N26" s="10" t="inlineStr">
        <is>
          <t>unmatched</t>
        </is>
      </c>
    </row>
    <row r="27">
      <c r="A27" s="10" t="inlineStr">
        <is>
          <t>1-49</t>
        </is>
      </c>
      <c r="B27" s="8" t="n">
        <v>224227</v>
      </c>
      <c r="C27" s="10" t="inlineStr">
        <is>
          <t>CS-260826-155317</t>
        </is>
      </c>
      <c r="D27" s="10" t="inlineStr">
        <is>
          <t>PCA- New Oxford</t>
        </is>
      </c>
      <c r="E27" s="10" t="inlineStr">
        <is>
          <t>Crayola Meijer 48ft POG - Inline HDR Front 12 Versions</t>
        </is>
      </c>
      <c r="F27" s="10" t="inlineStr">
        <is>
          <t>Display Header — Version 5 of 12 (Gifts &amp; Kits #1)</t>
        </is>
      </c>
      <c r="G27" s="8" t="n">
        <v>1</v>
      </c>
      <c r="H27" s="10" t="n">
        <v/>
      </c>
      <c r="I27" s="8" t="n"/>
      <c r="J27" s="10" t="inlineStr">
        <is>
          <t>Gloss</t>
        </is>
      </c>
      <c r="K27" s="11" t="n">
        <v>379.78</v>
      </c>
      <c r="L27" s="11" t="n"/>
      <c r="M27" s="9" t="n"/>
      <c r="N27" s="10" t="inlineStr">
        <is>
          <t>unmatched</t>
        </is>
      </c>
    </row>
    <row r="28">
      <c r="A28" s="10" t="inlineStr">
        <is>
          <t>1-49</t>
        </is>
      </c>
      <c r="B28" s="8" t="n">
        <v>224227</v>
      </c>
      <c r="C28" s="10" t="inlineStr">
        <is>
          <t>CS-260826-155317</t>
        </is>
      </c>
      <c r="D28" s="10" t="inlineStr">
        <is>
          <t>PCA- New Oxford</t>
        </is>
      </c>
      <c r="E28" s="10" t="inlineStr">
        <is>
          <t>Crayola Meijer 48ft POG - Inline HDR Front 12 Versions</t>
        </is>
      </c>
      <c r="F28" s="10" t="inlineStr">
        <is>
          <t>Display Header — Version 6 of 12 (Little Artists)</t>
        </is>
      </c>
      <c r="G28" s="8" t="n">
        <v>1</v>
      </c>
      <c r="H28" s="10" t="n">
        <v/>
      </c>
      <c r="I28" s="8" t="n"/>
      <c r="J28" s="10" t="inlineStr">
        <is>
          <t>Gloss</t>
        </is>
      </c>
      <c r="K28" s="11" t="n">
        <v>379.78</v>
      </c>
      <c r="L28" s="11" t="n"/>
      <c r="M28" s="9" t="n"/>
      <c r="N28" s="10" t="inlineStr">
        <is>
          <t>unmatched</t>
        </is>
      </c>
    </row>
    <row r="29">
      <c r="A29" s="10" t="inlineStr">
        <is>
          <t>1-49</t>
        </is>
      </c>
      <c r="B29" s="8" t="n">
        <v>224227</v>
      </c>
      <c r="C29" s="10" t="inlineStr">
        <is>
          <t>CS-260826-155317</t>
        </is>
      </c>
      <c r="D29" s="10" t="inlineStr">
        <is>
          <t>PCA- New Oxford</t>
        </is>
      </c>
      <c r="E29" s="10" t="inlineStr">
        <is>
          <t>Crayola Meijer 48ft POG - Inline HDR Front 12 Versions</t>
        </is>
      </c>
      <c r="F29" s="10" t="inlineStr">
        <is>
          <t>Display Header — Version 7 of 12 (Color &amp; Draw #1)</t>
        </is>
      </c>
      <c r="G29" s="8" t="n">
        <v>1</v>
      </c>
      <c r="H29" s="10" t="n">
        <v/>
      </c>
      <c r="I29" s="8" t="n"/>
      <c r="J29" s="10" t="inlineStr">
        <is>
          <t>Gloss</t>
        </is>
      </c>
      <c r="K29" s="11" t="n">
        <v>379.78</v>
      </c>
      <c r="L29" s="11" t="n"/>
      <c r="M29" s="9" t="n"/>
      <c r="N29" s="10" t="inlineStr">
        <is>
          <t>unmatched</t>
        </is>
      </c>
    </row>
    <row r="30">
      <c r="A30" s="10" t="inlineStr">
        <is>
          <t>1-49</t>
        </is>
      </c>
      <c r="B30" s="8" t="n">
        <v>224227</v>
      </c>
      <c r="C30" s="10" t="inlineStr">
        <is>
          <t>CS-260826-155317</t>
        </is>
      </c>
      <c r="D30" s="10" t="inlineStr">
        <is>
          <t>PCA- New Oxford</t>
        </is>
      </c>
      <c r="E30" s="10" t="inlineStr">
        <is>
          <t>Crayola Meijer 48ft POG - Inline HDR Front 12 Versions</t>
        </is>
      </c>
      <c r="F30" s="10" t="inlineStr">
        <is>
          <t>Display Header — Version 8 of 12 (Color &amp; Draw #2)</t>
        </is>
      </c>
      <c r="G30" s="8" t="n">
        <v>1</v>
      </c>
      <c r="H30" s="10" t="n">
        <v/>
      </c>
      <c r="I30" s="8" t="n"/>
      <c r="J30" s="10" t="inlineStr">
        <is>
          <t>Gloss</t>
        </is>
      </c>
      <c r="K30" s="11" t="n">
        <v>379.78</v>
      </c>
      <c r="L30" s="11" t="n"/>
      <c r="M30" s="9" t="n"/>
      <c r="N30" s="10" t="inlineStr">
        <is>
          <t>unmatched</t>
        </is>
      </c>
    </row>
    <row r="31">
      <c r="A31" s="10" t="inlineStr">
        <is>
          <t>1-49</t>
        </is>
      </c>
      <c r="B31" s="8" t="n">
        <v>224227</v>
      </c>
      <c r="C31" s="10" t="inlineStr">
        <is>
          <t>CS-260826-155317</t>
        </is>
      </c>
      <c r="D31" s="10" t="inlineStr">
        <is>
          <t>PCA- New Oxford</t>
        </is>
      </c>
      <c r="E31" s="10" t="inlineStr">
        <is>
          <t>Crayola Meijer 48ft POG - Inline HDR Front 12 Versions</t>
        </is>
      </c>
      <c r="F31" s="10" t="inlineStr">
        <is>
          <t>Display Header — Version 9 of 12 (Poster Board Teal)</t>
        </is>
      </c>
      <c r="G31" s="8" t="n">
        <v>1</v>
      </c>
      <c r="H31" s="10" t="n">
        <v/>
      </c>
      <c r="I31" s="8" t="n"/>
      <c r="J31" s="10" t="inlineStr">
        <is>
          <t>Gloss</t>
        </is>
      </c>
      <c r="K31" s="11" t="n">
        <v>379.78</v>
      </c>
      <c r="L31" s="11" t="n"/>
      <c r="M31" s="9" t="n"/>
      <c r="N31" s="10" t="inlineStr">
        <is>
          <t>unmatched</t>
        </is>
      </c>
    </row>
    <row r="32">
      <c r="A32" s="10" t="inlineStr">
        <is>
          <t>1-49</t>
        </is>
      </c>
      <c r="B32" s="8" t="n">
        <v>224227</v>
      </c>
      <c r="C32" s="10" t="inlineStr">
        <is>
          <t>CS-260826-155317</t>
        </is>
      </c>
      <c r="D32" s="10" t="inlineStr">
        <is>
          <t>PCA- New Oxford</t>
        </is>
      </c>
      <c r="E32" s="10" t="inlineStr">
        <is>
          <t>Crayola Meijer 48ft POG - Inline HDR Front 12 Versions</t>
        </is>
      </c>
      <c r="F32" s="10" t="inlineStr">
        <is>
          <t>Display Header — Version 10 of 12 (Project Essentials YLW/GRN)</t>
        </is>
      </c>
      <c r="G32" s="8" t="n">
        <v>1</v>
      </c>
      <c r="H32" s="10" t="inlineStr">
        <is>
          <t>Project Esentials YLW/GRN</t>
        </is>
      </c>
      <c r="I32" s="8" t="n">
        <v>1</v>
      </c>
      <c r="J32" s="10" t="inlineStr">
        <is>
          <t>Gloss</t>
        </is>
      </c>
      <c r="K32" s="11" t="n">
        <v>379.78</v>
      </c>
      <c r="L32" s="11" t="n">
        <v>289.17</v>
      </c>
      <c r="M32" s="9" t="n">
        <v>31.33450911228687</v>
      </c>
      <c r="N32" s="10" t="inlineStr">
        <is>
          <t>qty-tie+name(0.60)</t>
        </is>
      </c>
    </row>
    <row r="33">
      <c r="A33" s="10" t="inlineStr">
        <is>
          <t>1-49</t>
        </is>
      </c>
      <c r="B33" s="8" t="n">
        <v>224227</v>
      </c>
      <c r="C33" s="10" t="inlineStr">
        <is>
          <t>CS-260826-155317</t>
        </is>
      </c>
      <c r="D33" s="10" t="inlineStr">
        <is>
          <t>PCA- New Oxford</t>
        </is>
      </c>
      <c r="E33" s="10" t="inlineStr">
        <is>
          <t>Crayola Meijer 48ft POG - Inline HDR Front 12 Versions</t>
        </is>
      </c>
      <c r="F33" s="10" t="inlineStr">
        <is>
          <t>Display Header — Version 11 of 12 (Color &amp; Draw #3 Egg)</t>
        </is>
      </c>
      <c r="G33" s="8" t="n">
        <v>1</v>
      </c>
      <c r="H33" s="10" t="n">
        <v/>
      </c>
      <c r="I33" s="8" t="n"/>
      <c r="J33" s="10" t="inlineStr">
        <is>
          <t>Gloss</t>
        </is>
      </c>
      <c r="K33" s="11" t="n">
        <v>379.78</v>
      </c>
      <c r="L33" s="11" t="n"/>
      <c r="M33" s="9" t="n"/>
      <c r="N33" s="10" t="inlineStr">
        <is>
          <t>unmatched</t>
        </is>
      </c>
    </row>
    <row r="34">
      <c r="A34" s="10" t="inlineStr">
        <is>
          <t>1-49</t>
        </is>
      </c>
      <c r="B34" s="8" t="n">
        <v>224227</v>
      </c>
      <c r="C34" s="10" t="inlineStr">
        <is>
          <t>CS-260826-155317</t>
        </is>
      </c>
      <c r="D34" s="10" t="inlineStr">
        <is>
          <t>PCA- New Oxford</t>
        </is>
      </c>
      <c r="E34" s="10" t="inlineStr">
        <is>
          <t>Crayola Meijer 48ft POG - Inline HDR Front 12 Versions</t>
        </is>
      </c>
      <c r="F34" s="10" t="inlineStr">
        <is>
          <t>Display Header — Version 12 of 12 (Goo &amp; Glue)</t>
        </is>
      </c>
      <c r="G34" s="8" t="n">
        <v>1</v>
      </c>
      <c r="H34" s="10" t="n">
        <v/>
      </c>
      <c r="I34" s="8" t="n"/>
      <c r="J34" s="10" t="inlineStr">
        <is>
          <t>Gloss</t>
        </is>
      </c>
      <c r="K34" s="11" t="n">
        <v>379.78</v>
      </c>
      <c r="L34" s="11" t="n"/>
      <c r="M34" s="9" t="n"/>
      <c r="N34" s="10" t="inlineStr">
        <is>
          <t>unmatched</t>
        </is>
      </c>
    </row>
    <row r="35">
      <c r="A35" s="10" t="inlineStr">
        <is>
          <t>1-49</t>
        </is>
      </c>
      <c r="B35" s="8" t="n">
        <v>223864</v>
      </c>
      <c r="C35" s="10" t="inlineStr">
        <is>
          <t>CS-260803-133009</t>
        </is>
      </c>
      <c r="D35" s="10" t="inlineStr">
        <is>
          <t>Skybox Packaging, LLC</t>
        </is>
      </c>
      <c r="E35" s="10" t="inlineStr">
        <is>
          <t>Targeted Pet Treats - Country Kitchen Promotional Shipper</t>
        </is>
      </c>
      <c r="F35" s="10" t="inlineStr">
        <is>
          <t>Shelf</t>
        </is>
      </c>
      <c r="G35" s="8" t="n">
        <v>1</v>
      </c>
      <c r="H35" s="10" t="inlineStr">
        <is>
          <t>MRO40606 Shelf</t>
        </is>
      </c>
      <c r="I35" s="8" t="n">
        <v>1</v>
      </c>
      <c r="J35" s="10" t="inlineStr">
        <is>
          <t>Satin</t>
        </is>
      </c>
      <c r="K35" s="11" t="n">
        <v>347.33</v>
      </c>
      <c r="L35" s="11" t="n">
        <v>297.99</v>
      </c>
      <c r="M35" s="9" t="n">
        <v>16.55760260411422</v>
      </c>
      <c r="N35" s="10" t="inlineStr">
        <is>
          <t>qty-unique</t>
        </is>
      </c>
    </row>
    <row r="36">
      <c r="A36" s="10" t="inlineStr">
        <is>
          <t>1-49</t>
        </is>
      </c>
      <c r="B36" s="8" t="n">
        <v>223864</v>
      </c>
      <c r="C36" s="10" t="inlineStr">
        <is>
          <t>CS-260803-133009</t>
        </is>
      </c>
      <c r="D36" s="10" t="inlineStr">
        <is>
          <t>Skybox Packaging, LLC</t>
        </is>
      </c>
      <c r="E36" s="10" t="inlineStr">
        <is>
          <t>Targeted Pet Treats - Country Kitchen Promotional Shipper</t>
        </is>
      </c>
      <c r="F36" s="10" t="inlineStr">
        <is>
          <t>Tray (2-up)</t>
        </is>
      </c>
      <c r="G36" s="8" t="n">
        <v>1</v>
      </c>
      <c r="H36" s="10" t="n">
        <v/>
      </c>
      <c r="I36" s="8" t="n"/>
      <c r="J36" s="10" t="inlineStr">
        <is>
          <t>Satin</t>
        </is>
      </c>
      <c r="K36" s="11" t="n">
        <v>310.2</v>
      </c>
      <c r="L36" s="11" t="n"/>
      <c r="M36" s="9" t="n"/>
      <c r="N36" s="10" t="inlineStr">
        <is>
          <t>unmatched</t>
        </is>
      </c>
    </row>
    <row r="37">
      <c r="A37" s="10" t="inlineStr">
        <is>
          <t>50-199</t>
        </is>
      </c>
      <c r="B37" s="8" t="n">
        <v>222493</v>
      </c>
      <c r="C37" s="10" t="inlineStr">
        <is>
          <t>RW-260806-104054</t>
        </is>
      </c>
      <c r="D37" s="10" t="inlineStr">
        <is>
          <t>Abracadabra Experiences, LLC</t>
        </is>
      </c>
      <c r="E37" s="10" t="inlineStr">
        <is>
          <t>Disney Registration Box</t>
        </is>
      </c>
      <c r="F37" s="10" t="inlineStr">
        <is>
          <t>Welcome Box</t>
        </is>
      </c>
      <c r="G37" s="8" t="n">
        <v>106</v>
      </c>
      <c r="H37" s="10" t="inlineStr">
        <is>
          <t>Welcome Back Boxes</t>
        </is>
      </c>
      <c r="I37" s="8" t="n">
        <v>106</v>
      </c>
      <c r="J37" s="10" t="inlineStr">
        <is>
          <t>Gloss</t>
        </is>
      </c>
      <c r="K37" s="11" t="n">
        <v>1145.18</v>
      </c>
      <c r="L37" s="11" t="n">
        <v>1515.11</v>
      </c>
      <c r="M37" s="9" t="n">
        <v>-24.41604899974259</v>
      </c>
      <c r="N37" s="10" t="inlineStr">
        <is>
          <t>qty-unique</t>
        </is>
      </c>
    </row>
    <row r="38">
      <c r="A38" s="10" t="inlineStr">
        <is>
          <t>50-199</t>
        </is>
      </c>
      <c r="B38" s="8" t="n">
        <v>222493</v>
      </c>
      <c r="C38" s="10" t="inlineStr">
        <is>
          <t>RW-260806-104054</t>
        </is>
      </c>
      <c r="D38" s="10" t="inlineStr">
        <is>
          <t>Abracadabra Experiences, LLC</t>
        </is>
      </c>
      <c r="E38" s="10" t="inlineStr">
        <is>
          <t>Disney Registration Box</t>
        </is>
      </c>
      <c r="F38" s="10" t="inlineStr">
        <is>
          <t>Welcome Back Box</t>
        </is>
      </c>
      <c r="G38" s="8" t="n">
        <v>106</v>
      </c>
      <c r="H38" s="10" t="inlineStr">
        <is>
          <t>Welcome Boxes</t>
        </is>
      </c>
      <c r="I38" s="8" t="n">
        <v>82</v>
      </c>
      <c r="J38" s="10" t="inlineStr">
        <is>
          <t>Satin</t>
        </is>
      </c>
      <c r="K38" s="11" t="n">
        <v>1344.54</v>
      </c>
      <c r="L38" s="11" t="n">
        <v>1257.48</v>
      </c>
      <c r="M38" s="9" t="n">
        <v>6.923370550625055</v>
      </c>
      <c r="N38" s="10" t="inlineStr">
        <is>
          <t>name(0.76)</t>
        </is>
      </c>
    </row>
    <row r="39">
      <c r="A39" s="10" t="inlineStr">
        <is>
          <t>50-199</t>
        </is>
      </c>
      <c r="B39" s="8" t="n">
        <v>222258</v>
      </c>
      <c r="C39" s="10" t="inlineStr">
        <is>
          <t>RW-260805-102813</t>
        </is>
      </c>
      <c r="D39" s="10" t="inlineStr">
        <is>
          <t>Apex Display Group</t>
        </is>
      </c>
      <c r="E39" s="10" t="inlineStr">
        <is>
          <t>Halfday Limited Edition Watermelon Half &amp; Half Header - 2 Art Combo Run</t>
        </is>
      </c>
      <c r="F39" s="10" t="inlineStr">
        <is>
          <t>Header #1</t>
        </is>
      </c>
      <c r="G39" s="8" t="n">
        <v>60</v>
      </c>
      <c r="H39" s="10" t="inlineStr">
        <is>
          <t>Header 2</t>
        </is>
      </c>
      <c r="I39" s="8" t="n">
        <v>60</v>
      </c>
      <c r="J39" s="10" t="inlineStr">
        <is>
          <t>Gloss</t>
        </is>
      </c>
      <c r="K39" s="11" t="n">
        <v>955.21</v>
      </c>
      <c r="L39" s="11" t="n">
        <v>361.01</v>
      </c>
      <c r="M39" s="9" t="n">
        <v>164.5937785656907</v>
      </c>
      <c r="N39" s="10" t="inlineStr">
        <is>
          <t>qty-unique</t>
        </is>
      </c>
    </row>
    <row r="40">
      <c r="A40" s="10" t="inlineStr">
        <is>
          <t>50-199</t>
        </is>
      </c>
      <c r="B40" s="8" t="n">
        <v>222258</v>
      </c>
      <c r="C40" s="10" t="inlineStr">
        <is>
          <t>RW-260805-102813</t>
        </is>
      </c>
      <c r="D40" s="10" t="inlineStr">
        <is>
          <t>Apex Display Group</t>
        </is>
      </c>
      <c r="E40" s="10" t="inlineStr">
        <is>
          <t>Halfday Limited Edition Watermelon Half &amp; Half Header - 2 Art Combo Run</t>
        </is>
      </c>
      <c r="F40" s="10" t="inlineStr">
        <is>
          <t>Header #1 (copy)</t>
        </is>
      </c>
      <c r="G40" s="8" t="n">
        <v>60</v>
      </c>
      <c r="H40" s="10" t="inlineStr">
        <is>
          <t>Header 1</t>
        </is>
      </c>
      <c r="I40" s="8" t="n">
        <v>250</v>
      </c>
      <c r="J40" s="10" t="inlineStr">
        <is>
          <t>Gloss</t>
        </is>
      </c>
      <c r="K40" s="11" t="n">
        <v>645.01</v>
      </c>
      <c r="L40" s="11" t="n">
        <v>690.33</v>
      </c>
      <c r="M40" s="9" t="n">
        <v>-6.564976170816863</v>
      </c>
      <c r="N40" s="10" t="inlineStr">
        <is>
          <t>name(0.73)</t>
        </is>
      </c>
    </row>
    <row r="41">
      <c r="A41" s="10" t="inlineStr">
        <is>
          <t>50-199</t>
        </is>
      </c>
      <c r="B41" s="8" t="n">
        <v>222738</v>
      </c>
      <c r="C41" s="10" t="inlineStr">
        <is>
          <t>RW-260806-130832</t>
        </is>
      </c>
      <c r="D41" s="10" t="inlineStr">
        <is>
          <t>Apex Display Group</t>
        </is>
      </c>
      <c r="E41" s="10" t="inlineStr">
        <is>
          <t>6 Can Mailer</t>
        </is>
      </c>
      <c r="F41" s="10" t="inlineStr">
        <is>
          <t>Mailer</t>
        </is>
      </c>
      <c r="G41" s="8" t="n">
        <v>50</v>
      </c>
      <c r="H41" s="10" t="inlineStr">
        <is>
          <t>Mailer</t>
        </is>
      </c>
      <c r="I41" s="8" t="n">
        <v>50</v>
      </c>
      <c r="J41" s="10" t="inlineStr">
        <is>
          <t>Gloss</t>
        </is>
      </c>
      <c r="K41" s="11" t="n">
        <v>1209.2</v>
      </c>
      <c r="L41" s="11" t="n">
        <v>1572.44</v>
      </c>
      <c r="M41" s="9" t="n">
        <v>-23.10040446694309</v>
      </c>
      <c r="N41" s="10" t="inlineStr">
        <is>
          <t>qty-tie+name(1.00)</t>
        </is>
      </c>
    </row>
    <row r="42">
      <c r="A42" s="10" t="inlineStr">
        <is>
          <t>50-199</t>
        </is>
      </c>
      <c r="B42" s="8" t="n">
        <v>222738</v>
      </c>
      <c r="C42" s="10" t="inlineStr">
        <is>
          <t>RW-260806-130832</t>
        </is>
      </c>
      <c r="D42" s="10" t="inlineStr">
        <is>
          <t>Apex Display Group</t>
        </is>
      </c>
      <c r="E42" s="10" t="inlineStr">
        <is>
          <t>6 Can Mailer</t>
        </is>
      </c>
      <c r="F42" s="10" t="inlineStr">
        <is>
          <t>Insert</t>
        </is>
      </c>
      <c r="G42" s="8" t="n">
        <v>50</v>
      </c>
      <c r="H42" s="10" t="inlineStr">
        <is>
          <t>Insert</t>
        </is>
      </c>
      <c r="I42" s="8" t="n">
        <v>50</v>
      </c>
      <c r="J42" s="10" t="inlineStr">
        <is>
          <t>Gloss</t>
        </is>
      </c>
      <c r="K42" s="11" t="n">
        <v>806.45</v>
      </c>
      <c r="L42" s="11" t="n">
        <v>787.9299999999999</v>
      </c>
      <c r="M42" s="9" t="n">
        <v>2.350462604546101</v>
      </c>
      <c r="N42" s="10" t="inlineStr">
        <is>
          <t>qty-unique</t>
        </is>
      </c>
    </row>
    <row r="43">
      <c r="A43" s="10" t="inlineStr">
        <is>
          <t>50-199</t>
        </is>
      </c>
      <c r="B43" s="8" t="n">
        <v>222738</v>
      </c>
      <c r="C43" s="10" t="inlineStr">
        <is>
          <t>RW-260806-130832</t>
        </is>
      </c>
      <c r="D43" s="10" t="inlineStr">
        <is>
          <t>Apex Display Group</t>
        </is>
      </c>
      <c r="E43" s="10" t="inlineStr">
        <is>
          <t>6 Can Mailer</t>
        </is>
      </c>
      <c r="F43" s="10" t="inlineStr">
        <is>
          <t>Mailer</t>
        </is>
      </c>
      <c r="G43" s="8" t="n">
        <v>100</v>
      </c>
      <c r="H43" s="10" t="inlineStr">
        <is>
          <t>Mailer</t>
        </is>
      </c>
      <c r="I43" s="8" t="n">
        <v>100</v>
      </c>
      <c r="J43" s="10" t="inlineStr">
        <is>
          <t>Gloss</t>
        </is>
      </c>
      <c r="K43" s="11" t="n">
        <v>1730.69</v>
      </c>
      <c r="L43" s="11" t="n">
        <v>2520.58</v>
      </c>
      <c r="M43" s="9" t="n">
        <v>-31.33762864102706</v>
      </c>
      <c r="N43" s="10" t="inlineStr">
        <is>
          <t>qty-tie+name(1.00)</t>
        </is>
      </c>
    </row>
    <row r="44">
      <c r="A44" s="10" t="inlineStr">
        <is>
          <t>50-199</t>
        </is>
      </c>
      <c r="B44" s="8" t="n">
        <v>222738</v>
      </c>
      <c r="C44" s="10" t="inlineStr">
        <is>
          <t>RW-260806-130832</t>
        </is>
      </c>
      <c r="D44" s="10" t="inlineStr">
        <is>
          <t>Apex Display Group</t>
        </is>
      </c>
      <c r="E44" s="10" t="inlineStr">
        <is>
          <t>6 Can Mailer</t>
        </is>
      </c>
      <c r="F44" s="10" t="inlineStr">
        <is>
          <t>Insert</t>
        </is>
      </c>
      <c r="G44" s="8" t="n">
        <v>100</v>
      </c>
      <c r="H44" s="10" t="inlineStr">
        <is>
          <t>Insert</t>
        </is>
      </c>
      <c r="I44" s="8" t="n">
        <v>100</v>
      </c>
      <c r="J44" s="10" t="inlineStr">
        <is>
          <t>Gloss</t>
        </is>
      </c>
      <c r="K44" s="11" t="n">
        <v>1067.84</v>
      </c>
      <c r="L44" s="11" t="n">
        <v>1149.38</v>
      </c>
      <c r="M44" s="9" t="n">
        <v>-7.09425951382486</v>
      </c>
      <c r="N44" s="10" t="inlineStr">
        <is>
          <t>qty-unique</t>
        </is>
      </c>
    </row>
    <row r="45">
      <c r="A45" s="10" t="inlineStr">
        <is>
          <t>50-199</t>
        </is>
      </c>
      <c r="B45" s="8" t="n">
        <v>222738</v>
      </c>
      <c r="C45" s="10" t="inlineStr">
        <is>
          <t>RW-260806-130832</t>
        </is>
      </c>
      <c r="D45" s="10" t="inlineStr">
        <is>
          <t>Apex Display Group</t>
        </is>
      </c>
      <c r="E45" s="10" t="inlineStr">
        <is>
          <t>6 Can Mailer</t>
        </is>
      </c>
      <c r="F45" s="10" t="inlineStr">
        <is>
          <t>Mailer</t>
        </is>
      </c>
      <c r="G45" s="8" t="n">
        <v>150</v>
      </c>
      <c r="H45" s="10" t="inlineStr">
        <is>
          <t>Mailer</t>
        </is>
      </c>
      <c r="I45" s="8" t="n">
        <v>150</v>
      </c>
      <c r="J45" s="10" t="inlineStr">
        <is>
          <t>Gloss</t>
        </is>
      </c>
      <c r="K45" s="11" t="n">
        <v>1839</v>
      </c>
      <c r="L45" s="11" t="n">
        <v>3645.96</v>
      </c>
      <c r="M45" s="9" t="n">
        <v>-49.56060955139387</v>
      </c>
      <c r="N45" s="10" t="inlineStr">
        <is>
          <t>qty-tie+name(1.00)</t>
        </is>
      </c>
    </row>
    <row r="46">
      <c r="A46" s="10" t="inlineStr">
        <is>
          <t>50-199</t>
        </is>
      </c>
      <c r="B46" s="8" t="n">
        <v>222738</v>
      </c>
      <c r="C46" s="10" t="inlineStr">
        <is>
          <t>RW-260806-130832</t>
        </is>
      </c>
      <c r="D46" s="10" t="inlineStr">
        <is>
          <t>Apex Display Group</t>
        </is>
      </c>
      <c r="E46" s="10" t="inlineStr">
        <is>
          <t>6 Can Mailer</t>
        </is>
      </c>
      <c r="F46" s="10" t="inlineStr">
        <is>
          <t>Insert</t>
        </is>
      </c>
      <c r="G46" s="8" t="n">
        <v>150</v>
      </c>
      <c r="H46" s="10" t="inlineStr">
        <is>
          <t>Insert</t>
        </is>
      </c>
      <c r="I46" s="8" t="n">
        <v>150</v>
      </c>
      <c r="J46" s="10" t="inlineStr">
        <is>
          <t>Gloss</t>
        </is>
      </c>
      <c r="K46" s="11" t="n">
        <v>1329.22</v>
      </c>
      <c r="L46" s="11" t="n">
        <v>1587.91</v>
      </c>
      <c r="M46" s="9" t="n">
        <v>-16.29122557323778</v>
      </c>
      <c r="N46" s="10" t="inlineStr">
        <is>
          <t>qty-unique</t>
        </is>
      </c>
    </row>
    <row r="47">
      <c r="A47" s="10" t="inlineStr">
        <is>
          <t>50-199</t>
        </is>
      </c>
      <c r="B47" s="8" t="n">
        <v>224399</v>
      </c>
      <c r="C47" s="10" t="inlineStr">
        <is>
          <t>CD-260825-104135</t>
        </is>
      </c>
      <c r="D47" s="10" t="inlineStr">
        <is>
          <t>BCI Buckeye Division</t>
        </is>
      </c>
      <c r="E47" s="10" t="inlineStr">
        <is>
          <t>Part # 11590 / 11616 / 11617</t>
        </is>
      </c>
      <c r="F47" s="10" t="inlineStr">
        <is>
          <t>Sidekick w/Built-In Header</t>
        </is>
      </c>
      <c r="G47" s="8" t="n">
        <v>100</v>
      </c>
      <c r="H47" s="10" t="n">
        <v/>
      </c>
      <c r="I47" s="8" t="n"/>
      <c r="J47" s="10" t="inlineStr">
        <is>
          <t>Satin</t>
        </is>
      </c>
      <c r="K47" s="11" t="n">
        <v>3100.63</v>
      </c>
      <c r="L47" s="11" t="n"/>
      <c r="M47" s="9" t="n"/>
      <c r="N47" s="10" t="inlineStr">
        <is>
          <t>unmatched</t>
        </is>
      </c>
    </row>
    <row r="48">
      <c r="A48" s="10" t="inlineStr">
        <is>
          <t>50-199</t>
        </is>
      </c>
      <c r="B48" s="8" t="n">
        <v>224024</v>
      </c>
      <c r="C48" s="10" t="inlineStr">
        <is>
          <t>RW-260819-091905</t>
        </is>
      </c>
      <c r="D48" s="10" t="inlineStr">
        <is>
          <t>BCI Knoxville Division</t>
        </is>
      </c>
      <c r="E48" s="10" t="inlineStr">
        <is>
          <t>Part 11166</t>
        </is>
      </c>
      <c r="F48" s="10" t="inlineStr">
        <is>
          <t>D/C Non-Joined</t>
        </is>
      </c>
      <c r="G48" s="8" t="n">
        <v>150</v>
      </c>
      <c r="H48" s="10" t="n">
        <v>11166</v>
      </c>
      <c r="I48" s="8" t="n">
        <v>150</v>
      </c>
      <c r="J48" s="10" t="inlineStr">
        <is>
          <t>Satin</t>
        </is>
      </c>
      <c r="K48" s="11" t="n">
        <v>2474.8</v>
      </c>
      <c r="L48" s="11" t="n">
        <v>1959.82</v>
      </c>
      <c r="M48" s="9" t="n">
        <v>26.27690298088601</v>
      </c>
      <c r="N48" s="10" t="inlineStr">
        <is>
          <t>exact</t>
        </is>
      </c>
    </row>
    <row r="49">
      <c r="A49" s="10" t="inlineStr">
        <is>
          <t>50-199</t>
        </is>
      </c>
      <c r="B49" s="8" t="n">
        <v>224032</v>
      </c>
      <c r="C49" s="10" t="inlineStr">
        <is>
          <t>RW-260819-085031</t>
        </is>
      </c>
      <c r="D49" s="10" t="inlineStr">
        <is>
          <t>BCI Knoxville Division</t>
        </is>
      </c>
      <c r="E49" s="10" t="inlineStr">
        <is>
          <t>Part 11378-11379-11380</t>
        </is>
      </c>
      <c r="F49" s="10" t="inlineStr">
        <is>
          <t>D/C Non-Joined — Part 11380 (03-010148-0)</t>
        </is>
      </c>
      <c r="G49" s="8" t="n">
        <v>150</v>
      </c>
      <c r="H49" s="10" t="inlineStr">
        <is>
          <t>Part #11380</t>
        </is>
      </c>
      <c r="I49" s="8" t="n">
        <v>150</v>
      </c>
      <c r="J49" s="10" t="inlineStr">
        <is>
          <t>Satin</t>
        </is>
      </c>
      <c r="K49" s="11" t="n">
        <v>688.86</v>
      </c>
      <c r="L49" s="11" t="n">
        <v>564.52</v>
      </c>
      <c r="M49" s="9" t="n">
        <v>22.02579182314179</v>
      </c>
      <c r="N49" s="10" t="inlineStr">
        <is>
          <t>exact</t>
        </is>
      </c>
    </row>
    <row r="50">
      <c r="A50" s="10" t="inlineStr">
        <is>
          <t>50-199</t>
        </is>
      </c>
      <c r="B50" s="8" t="n">
        <v>222247</v>
      </c>
      <c r="C50" s="10" t="inlineStr">
        <is>
          <t>RW-260804-170630</t>
        </is>
      </c>
      <c r="D50" s="10" t="inlineStr">
        <is>
          <t>BCI-Houston Division</t>
        </is>
      </c>
      <c r="E50" s="10" t="inlineStr">
        <is>
          <t>Klass Time Weekender / 5-Shelf Display</t>
        </is>
      </c>
      <c r="F50" s="10" t="inlineStr">
        <is>
          <t>Bottom Tray</t>
        </is>
      </c>
      <c r="G50" s="8" t="n">
        <v>80</v>
      </c>
      <c r="H50" s="10" t="inlineStr">
        <is>
          <t>BTM Tray</t>
        </is>
      </c>
      <c r="I50" s="8" t="n">
        <v>80</v>
      </c>
      <c r="J50" s="10" t="inlineStr">
        <is>
          <t>Satin</t>
        </is>
      </c>
      <c r="K50" s="11" t="n">
        <v>958.03</v>
      </c>
      <c r="L50" s="11" t="n">
        <v>966.23</v>
      </c>
      <c r="M50" s="9" t="n">
        <v>-0.8486592219243912</v>
      </c>
      <c r="N50" s="10" t="inlineStr">
        <is>
          <t>qty-tie+name(0.84)</t>
        </is>
      </c>
    </row>
    <row r="51">
      <c r="A51" s="10" t="inlineStr">
        <is>
          <t>50-199</t>
        </is>
      </c>
      <c r="B51" s="8" t="n">
        <v>222247</v>
      </c>
      <c r="C51" s="10" t="inlineStr">
        <is>
          <t>RW-260804-170630</t>
        </is>
      </c>
      <c r="D51" s="10" t="inlineStr">
        <is>
          <t>BCI-Houston Division</t>
        </is>
      </c>
      <c r="E51" s="10" t="inlineStr">
        <is>
          <t>Klass Time Weekender / 5-Shelf Display</t>
        </is>
      </c>
      <c r="F51" s="10" t="inlineStr">
        <is>
          <t>Bottom Tray</t>
        </is>
      </c>
      <c r="G51" s="8" t="n">
        <v>132</v>
      </c>
      <c r="H51" s="10" t="inlineStr">
        <is>
          <t>BTM Tray</t>
        </is>
      </c>
      <c r="I51" s="8" t="n">
        <v>132</v>
      </c>
      <c r="J51" s="10" t="inlineStr">
        <is>
          <t>Satin</t>
        </is>
      </c>
      <c r="K51" s="11" t="n">
        <v>1404.21</v>
      </c>
      <c r="L51" s="11" t="n">
        <v>1399.75</v>
      </c>
      <c r="M51" s="9" t="n">
        <v>0.3186283264868753</v>
      </c>
      <c r="N51" s="10" t="inlineStr">
        <is>
          <t>qty-tie+name(0.84)</t>
        </is>
      </c>
    </row>
    <row r="52">
      <c r="A52" s="10" t="inlineStr">
        <is>
          <t>50-199</t>
        </is>
      </c>
      <c r="B52" s="8" t="n">
        <v>224424</v>
      </c>
      <c r="C52" s="10" t="inlineStr">
        <is>
          <t>CS-260825-160705</t>
        </is>
      </c>
      <c r="D52" s="10" t="inlineStr">
        <is>
          <t>Effem (Mars Petcare)</t>
        </is>
      </c>
      <c r="E52" s="10" t="inlineStr">
        <is>
          <t>Temptations Bodega Direct Mailer</t>
        </is>
      </c>
      <c r="F52" s="10" t="inlineStr">
        <is>
          <t>Bodega</t>
        </is>
      </c>
      <c r="G52" s="8" t="n">
        <v>65</v>
      </c>
      <c r="H52" s="10" t="n">
        <v/>
      </c>
      <c r="I52" s="8" t="n"/>
      <c r="J52" s="10" t="inlineStr">
        <is>
          <t>Gloss</t>
        </is>
      </c>
      <c r="K52" s="11" t="n">
        <v>2104.58</v>
      </c>
      <c r="L52" s="11" t="n"/>
      <c r="M52" s="9" t="n"/>
      <c r="N52" s="10" t="inlineStr">
        <is>
          <t>unmatched</t>
        </is>
      </c>
    </row>
    <row r="53">
      <c r="A53" s="10" t="inlineStr">
        <is>
          <t>50-199</t>
        </is>
      </c>
      <c r="B53" s="8" t="n">
        <v>223057</v>
      </c>
      <c r="C53" s="10" t="inlineStr">
        <is>
          <t>RW-260807-082050</t>
        </is>
      </c>
      <c r="D53" s="10" t="inlineStr">
        <is>
          <t>Massillon Container</t>
        </is>
      </c>
      <c r="E53" s="10" t="inlineStr">
        <is>
          <t>Ten Point</t>
        </is>
      </c>
      <c r="F53" s="10" t="inlineStr">
        <is>
          <t>Item 2</t>
        </is>
      </c>
      <c r="G53" s="8" t="n">
        <v>50</v>
      </c>
      <c r="H53" s="10" t="n">
        <v/>
      </c>
      <c r="I53" s="8" t="n"/>
      <c r="J53" s="10" t="inlineStr">
        <is>
          <t>Satin</t>
        </is>
      </c>
      <c r="K53" s="11" t="n">
        <v>833.37</v>
      </c>
      <c r="L53" s="11" t="n"/>
      <c r="M53" s="9" t="n"/>
      <c r="N53" s="10" t="inlineStr">
        <is>
          <t>unmatched</t>
        </is>
      </c>
    </row>
    <row r="54">
      <c r="A54" s="10" t="inlineStr">
        <is>
          <t>50-199</t>
        </is>
      </c>
      <c r="B54" s="8" t="n">
        <v>223057</v>
      </c>
      <c r="C54" s="10" t="inlineStr">
        <is>
          <t>RW-260807-082050</t>
        </is>
      </c>
      <c r="D54" s="10" t="inlineStr">
        <is>
          <t>Massillon Container</t>
        </is>
      </c>
      <c r="E54" s="10" t="inlineStr">
        <is>
          <t>Ten Point</t>
        </is>
      </c>
      <c r="F54" s="10" t="inlineStr">
        <is>
          <t>Item 2</t>
        </is>
      </c>
      <c r="G54" s="8" t="n">
        <v>70</v>
      </c>
      <c r="H54" s="10" t="n">
        <v/>
      </c>
      <c r="I54" s="8" t="n"/>
      <c r="J54" s="10" t="inlineStr">
        <is>
          <t>Satin</t>
        </is>
      </c>
      <c r="K54" s="11" t="n">
        <v>1033.07</v>
      </c>
      <c r="L54" s="11" t="n"/>
      <c r="M54" s="9" t="n"/>
      <c r="N54" s="10" t="inlineStr">
        <is>
          <t>unmatched</t>
        </is>
      </c>
    </row>
    <row r="55">
      <c r="A55" s="10" t="inlineStr">
        <is>
          <t>50-199</t>
        </is>
      </c>
      <c r="B55" s="8" t="n">
        <v>223057</v>
      </c>
      <c r="C55" s="10" t="inlineStr">
        <is>
          <t>RW-260807-082050</t>
        </is>
      </c>
      <c r="D55" s="10" t="inlineStr">
        <is>
          <t>Massillon Container</t>
        </is>
      </c>
      <c r="E55" s="10" t="inlineStr">
        <is>
          <t>Ten Point</t>
        </is>
      </c>
      <c r="F55" s="10" t="inlineStr">
        <is>
          <t>Item 2</t>
        </is>
      </c>
      <c r="G55" s="8" t="n">
        <v>100</v>
      </c>
      <c r="H55" s="10" t="n">
        <v/>
      </c>
      <c r="I55" s="8" t="n"/>
      <c r="J55" s="10" t="inlineStr">
        <is>
          <t>Satin</t>
        </is>
      </c>
      <c r="K55" s="11" t="n">
        <v>1416.83</v>
      </c>
      <c r="L55" s="11" t="n"/>
      <c r="M55" s="9" t="n"/>
      <c r="N55" s="10" t="inlineStr">
        <is>
          <t>unmatched</t>
        </is>
      </c>
    </row>
    <row r="56">
      <c r="A56" s="10" t="inlineStr">
        <is>
          <t>50-199</t>
        </is>
      </c>
      <c r="B56" s="8" t="n">
        <v>222466</v>
      </c>
      <c r="C56" s="10" t="inlineStr">
        <is>
          <t>RW-260805-111442</t>
        </is>
      </c>
      <c r="D56" s="10" t="inlineStr">
        <is>
          <t>McElroy Contract Packaging, Inc.</t>
        </is>
      </c>
      <c r="E56" s="10" t="inlineStr">
        <is>
          <t>Consolidated Solutions</t>
        </is>
      </c>
      <c r="F56" s="10" t="inlineStr">
        <is>
          <t>Med Digital Sleeve</t>
        </is>
      </c>
      <c r="G56" s="8" t="n">
        <v>117</v>
      </c>
      <c r="H56" s="10" t="inlineStr">
        <is>
          <t>Medium Sleeve</t>
        </is>
      </c>
      <c r="I56" s="8" t="n">
        <v>117</v>
      </c>
      <c r="J56" s="10" t="inlineStr">
        <is>
          <t>Satin</t>
        </is>
      </c>
      <c r="K56" s="11" t="n">
        <v>1073.21</v>
      </c>
      <c r="L56" s="11" t="n">
        <v>698.1799999999999</v>
      </c>
      <c r="M56" s="9" t="n">
        <v>53.71537425878715</v>
      </c>
      <c r="N56" s="10" t="inlineStr">
        <is>
          <t>qty-unique</t>
        </is>
      </c>
    </row>
    <row r="57">
      <c r="A57" s="10" t="inlineStr">
        <is>
          <t>50-199</t>
        </is>
      </c>
      <c r="B57" s="8" t="n">
        <v>222466</v>
      </c>
      <c r="C57" s="10" t="inlineStr">
        <is>
          <t>RW-260805-111442</t>
        </is>
      </c>
      <c r="D57" s="10" t="inlineStr">
        <is>
          <t>McElroy Contract Packaging, Inc.</t>
        </is>
      </c>
      <c r="E57" s="10" t="inlineStr">
        <is>
          <t>Consolidated Solutions</t>
        </is>
      </c>
      <c r="F57" s="10" t="inlineStr">
        <is>
          <t>Med Digital Sleeve</t>
        </is>
      </c>
      <c r="G57" s="8" t="n">
        <v>170</v>
      </c>
      <c r="H57" s="10" t="inlineStr">
        <is>
          <t>Medium Sleeve</t>
        </is>
      </c>
      <c r="I57" s="8" t="n">
        <v>170</v>
      </c>
      <c r="J57" s="10" t="inlineStr">
        <is>
          <t>Satin</t>
        </is>
      </c>
      <c r="K57" s="11" t="n">
        <v>1137.63</v>
      </c>
      <c r="L57" s="11" t="n">
        <v>850.62</v>
      </c>
      <c r="M57" s="9" t="n">
        <v>33.74127107286451</v>
      </c>
      <c r="N57" s="10" t="inlineStr">
        <is>
          <t>qty-unique</t>
        </is>
      </c>
    </row>
    <row r="58">
      <c r="A58" s="10" t="inlineStr">
        <is>
          <t>50-199</t>
        </is>
      </c>
      <c r="B58" s="8" t="n">
        <v>222478</v>
      </c>
      <c r="C58" s="10" t="inlineStr">
        <is>
          <t>RW-260805-132313</t>
        </is>
      </c>
      <c r="D58" s="10" t="inlineStr">
        <is>
          <t>McElroy Contract Packaging, Inc.</t>
        </is>
      </c>
      <c r="E58" s="10" t="inlineStr">
        <is>
          <t>XL Sleeve</t>
        </is>
      </c>
      <c r="F58" s="10" t="inlineStr">
        <is>
          <t>XL Sleeve</t>
        </is>
      </c>
      <c r="G58" s="8" t="n">
        <v>160</v>
      </c>
      <c r="H58" s="10" t="inlineStr">
        <is>
          <t>XL Sleeve</t>
        </is>
      </c>
      <c r="I58" s="8" t="n">
        <v>160</v>
      </c>
      <c r="J58" s="10" t="inlineStr">
        <is>
          <t>Satin</t>
        </is>
      </c>
      <c r="K58" s="11" t="n">
        <v>1378.92</v>
      </c>
      <c r="L58" s="11" t="n">
        <v>1102.66</v>
      </c>
      <c r="M58" s="9" t="n">
        <v>25.05396042297716</v>
      </c>
      <c r="N58" s="10" t="inlineStr">
        <is>
          <t>qty-unique</t>
        </is>
      </c>
    </row>
    <row r="59">
      <c r="A59" s="10" t="inlineStr">
        <is>
          <t>50-199</t>
        </is>
      </c>
      <c r="B59" s="8" t="n">
        <v>222478</v>
      </c>
      <c r="C59" s="10" t="inlineStr">
        <is>
          <t>RW-260805-132313</t>
        </is>
      </c>
      <c r="D59" s="10" t="inlineStr">
        <is>
          <t>McElroy Contract Packaging, Inc.</t>
        </is>
      </c>
      <c r="E59" s="10" t="inlineStr">
        <is>
          <t>XL Sleeve</t>
        </is>
      </c>
      <c r="F59" s="10" t="inlineStr">
        <is>
          <t>XL Sleeve</t>
        </is>
      </c>
      <c r="G59" s="8" t="n">
        <v>180</v>
      </c>
      <c r="H59" s="10" t="inlineStr">
        <is>
          <t>XL Sleeve</t>
        </is>
      </c>
      <c r="I59" s="8" t="n">
        <v>180</v>
      </c>
      <c r="J59" s="10" t="inlineStr">
        <is>
          <t>Satin</t>
        </is>
      </c>
      <c r="K59" s="11" t="n">
        <v>1508.58</v>
      </c>
      <c r="L59" s="11" t="n">
        <v>1194.5</v>
      </c>
      <c r="M59" s="9" t="n">
        <v>26.29384679782335</v>
      </c>
      <c r="N59" s="10" t="inlineStr">
        <is>
          <t>qty-unique</t>
        </is>
      </c>
    </row>
    <row r="60">
      <c r="A60" s="10" t="inlineStr">
        <is>
          <t>50-199</t>
        </is>
      </c>
      <c r="B60" s="8" t="n">
        <v>222219</v>
      </c>
      <c r="C60" s="10" t="inlineStr">
        <is>
          <t>RW-260807-161054</t>
        </is>
      </c>
      <c r="D60" s="10" t="inlineStr">
        <is>
          <t>PCA - Akron</t>
        </is>
      </c>
      <c r="E60" s="10" t="inlineStr">
        <is>
          <t>Savant GE 93129294 T8A 4ft 20pk</t>
        </is>
      </c>
      <c r="F60" s="10" t="inlineStr">
        <is>
          <t>DL-42091</t>
        </is>
      </c>
      <c r="G60" s="8" t="n">
        <v>120</v>
      </c>
      <c r="H60" s="10" t="n">
        <v/>
      </c>
      <c r="I60" s="8" t="n"/>
      <c r="J60" s="10" t="inlineStr">
        <is>
          <t>Satin</t>
        </is>
      </c>
      <c r="K60" s="11" t="n">
        <v>3042.05</v>
      </c>
      <c r="L60" s="11" t="n"/>
      <c r="M60" s="9" t="n"/>
      <c r="N60" s="10" t="inlineStr">
        <is>
          <t>no-iq-rows</t>
        </is>
      </c>
    </row>
    <row r="61">
      <c r="A61" s="10" t="inlineStr">
        <is>
          <t>50-199</t>
        </is>
      </c>
      <c r="B61" s="8" t="n">
        <v>223376</v>
      </c>
      <c r="C61" s="10" t="inlineStr">
        <is>
          <t>RW-260629-134103</t>
        </is>
      </c>
      <c r="D61" s="10" t="inlineStr">
        <is>
          <t>PCA - Ashland</t>
        </is>
      </c>
      <c r="E61" s="10" t="inlineStr">
        <is>
          <t>MPC - Meijer Iams</t>
        </is>
      </c>
      <c r="F61" s="10" t="inlineStr">
        <is>
          <t>D26-0126 Header</t>
        </is>
      </c>
      <c r="G61" s="8" t="n">
        <v>150</v>
      </c>
      <c r="H61" s="10" t="inlineStr">
        <is>
          <t>D26-0131 Graphic Panel</t>
        </is>
      </c>
      <c r="I61" s="8" t="n">
        <v>150</v>
      </c>
      <c r="J61" s="10" t="inlineStr">
        <is>
          <t>Gloss</t>
        </is>
      </c>
      <c r="K61" s="11" t="n">
        <v>1436.41</v>
      </c>
      <c r="L61" s="11" t="n">
        <v>1970.75</v>
      </c>
      <c r="M61" s="9" t="n">
        <v>-27.11353545604464</v>
      </c>
      <c r="N61" s="10" t="inlineStr">
        <is>
          <t>qty-unique</t>
        </is>
      </c>
    </row>
    <row r="62">
      <c r="A62" s="10" t="inlineStr">
        <is>
          <t>50-199</t>
        </is>
      </c>
      <c r="B62" s="8" t="n">
        <v>223376</v>
      </c>
      <c r="C62" s="10" t="inlineStr">
        <is>
          <t>RW-260629-134103</t>
        </is>
      </c>
      <c r="D62" s="10" t="inlineStr">
        <is>
          <t>PCA - Ashland</t>
        </is>
      </c>
      <c r="E62" s="10" t="inlineStr">
        <is>
          <t>MPC - Meijer Iams</t>
        </is>
      </c>
      <c r="F62" s="10" t="inlineStr">
        <is>
          <t>D26-0131 Graphic Panel</t>
        </is>
      </c>
      <c r="G62" s="8" t="n">
        <v>150</v>
      </c>
      <c r="H62" s="10" t="n">
        <v/>
      </c>
      <c r="I62" s="8" t="n"/>
      <c r="J62" s="10" t="inlineStr">
        <is>
          <t>Gloss</t>
        </is>
      </c>
      <c r="K62" s="11" t="n">
        <v>2068.49</v>
      </c>
      <c r="L62" s="11" t="n"/>
      <c r="M62" s="9" t="n"/>
      <c r="N62" s="10" t="inlineStr">
        <is>
          <t>unmatched</t>
        </is>
      </c>
    </row>
    <row r="63">
      <c r="A63" s="10" t="inlineStr">
        <is>
          <t>50-199</t>
        </is>
      </c>
      <c r="B63" s="8" t="n">
        <v>222327</v>
      </c>
      <c r="C63" s="10" t="inlineStr">
        <is>
          <t>RW-260805-110335</t>
        </is>
      </c>
      <c r="D63" s="10" t="inlineStr">
        <is>
          <t>PCA / Fairfield, OH</t>
        </is>
      </c>
      <c r="E63" s="10" t="inlineStr">
        <is>
          <t>All  Spice Merchants - 60 Sec Pickle Display</t>
        </is>
      </c>
      <c r="F63" s="10" t="inlineStr">
        <is>
          <t>Display Base</t>
        </is>
      </c>
      <c r="G63" s="8" t="n">
        <v>100</v>
      </c>
      <c r="H63" s="10" t="inlineStr">
        <is>
          <t>Display Base</t>
        </is>
      </c>
      <c r="I63" s="8" t="n">
        <v>100</v>
      </c>
      <c r="J63" s="10" t="inlineStr">
        <is>
          <t>Gloss</t>
        </is>
      </c>
      <c r="K63" s="11" t="n">
        <v>884.13</v>
      </c>
      <c r="L63" s="11" t="n">
        <v>580.26</v>
      </c>
      <c r="M63" s="9" t="n">
        <v>52.3679040430152</v>
      </c>
      <c r="N63" s="10" t="inlineStr">
        <is>
          <t>qty-unique</t>
        </is>
      </c>
    </row>
    <row r="64">
      <c r="A64" s="10" t="inlineStr">
        <is>
          <t>50-199</t>
        </is>
      </c>
      <c r="B64" s="8" t="n">
        <v>222848</v>
      </c>
      <c r="C64" s="10" t="inlineStr">
        <is>
          <t>RW-260806-160923</t>
        </is>
      </c>
      <c r="D64" s="10" t="inlineStr">
        <is>
          <t>PCA / Fairfield, OH</t>
        </is>
      </c>
      <c r="E64" s="10" t="inlineStr">
        <is>
          <t>All Spice Merchants - 60 Sec Pickle Display</t>
        </is>
      </c>
      <c r="F64" s="10" t="inlineStr">
        <is>
          <t>Display</t>
        </is>
      </c>
      <c r="G64" s="8" t="n">
        <v>50</v>
      </c>
      <c r="H64" s="10" t="inlineStr">
        <is>
          <t>Display</t>
        </is>
      </c>
      <c r="I64" s="8" t="n">
        <v>50</v>
      </c>
      <c r="J64" s="10" t="inlineStr">
        <is>
          <t>Gloss</t>
        </is>
      </c>
      <c r="K64" s="11" t="n">
        <v>1083.52</v>
      </c>
      <c r="L64" s="11" t="n">
        <v>857.35</v>
      </c>
      <c r="M64" s="9" t="n">
        <v>26.38012480317256</v>
      </c>
      <c r="N64" s="10" t="inlineStr">
        <is>
          <t>qty-unique</t>
        </is>
      </c>
    </row>
    <row r="65">
      <c r="A65" s="10" t="inlineStr">
        <is>
          <t>50-199</t>
        </is>
      </c>
      <c r="B65" s="8" t="n">
        <v>224044</v>
      </c>
      <c r="C65" s="10" t="inlineStr">
        <is>
          <t>RW-260819-090831</t>
        </is>
      </c>
      <c r="D65" s="10" t="inlineStr">
        <is>
          <t>PCA- New Oxford</t>
        </is>
      </c>
      <c r="E65" s="10" t="inlineStr">
        <is>
          <t>SuperGut PDQ</t>
        </is>
      </c>
      <c r="F65" s="10" t="inlineStr">
        <is>
          <t>Tray</t>
        </is>
      </c>
      <c r="G65" s="8" t="n">
        <v>50</v>
      </c>
      <c r="H65" s="10" t="inlineStr">
        <is>
          <t xml:space="preserve">Tray </t>
        </is>
      </c>
      <c r="I65" s="8" t="n">
        <v>50</v>
      </c>
      <c r="J65" s="10" t="inlineStr">
        <is>
          <t>Gloss</t>
        </is>
      </c>
      <c r="K65" s="11" t="n">
        <v>1004.34</v>
      </c>
      <c r="L65" s="11" t="n">
        <v>1019.26</v>
      </c>
      <c r="M65" s="9" t="n">
        <v>-1.463807075721598</v>
      </c>
      <c r="N65" s="10" t="inlineStr">
        <is>
          <t>exact</t>
        </is>
      </c>
    </row>
    <row r="66">
      <c r="A66" s="10" t="inlineStr">
        <is>
          <t>50-199</t>
        </is>
      </c>
      <c r="B66" s="8" t="n">
        <v>224044</v>
      </c>
      <c r="C66" s="10" t="inlineStr">
        <is>
          <t>RW-260819-090831</t>
        </is>
      </c>
      <c r="D66" s="10" t="inlineStr">
        <is>
          <t>PCA- New Oxford</t>
        </is>
      </c>
      <c r="E66" s="10" t="inlineStr">
        <is>
          <t>SuperGut PDQ</t>
        </is>
      </c>
      <c r="F66" s="10" t="inlineStr">
        <is>
          <t>Platform</t>
        </is>
      </c>
      <c r="G66" s="8" t="n">
        <v>50</v>
      </c>
      <c r="H66" s="10" t="inlineStr">
        <is>
          <t xml:space="preserve">Graphic Block </t>
        </is>
      </c>
      <c r="I66" s="8" t="n">
        <v>50</v>
      </c>
      <c r="J66" s="10" t="inlineStr">
        <is>
          <t>Gloss</t>
        </is>
      </c>
      <c r="K66" s="11" t="n">
        <v>751.88</v>
      </c>
      <c r="L66" s="11" t="n">
        <v>629.97</v>
      </c>
      <c r="M66" s="9" t="n">
        <v>19.35171516103941</v>
      </c>
      <c r="N66" s="10" t="inlineStr">
        <is>
          <t>exact</t>
        </is>
      </c>
    </row>
    <row r="67">
      <c r="A67" s="10" t="inlineStr">
        <is>
          <t>50-199</t>
        </is>
      </c>
      <c r="B67" s="8" t="n">
        <v>224044</v>
      </c>
      <c r="C67" s="10" t="inlineStr">
        <is>
          <t>RW-260819-090831</t>
        </is>
      </c>
      <c r="D67" s="10" t="inlineStr">
        <is>
          <t>PCA- New Oxford</t>
        </is>
      </c>
      <c r="E67" s="10" t="inlineStr">
        <is>
          <t>SuperGut PDQ</t>
        </is>
      </c>
      <c r="F67" s="10" t="inlineStr">
        <is>
          <t>Graphic Block</t>
        </is>
      </c>
      <c r="G67" s="8" t="n">
        <v>50</v>
      </c>
      <c r="H67" s="10" t="inlineStr">
        <is>
          <t xml:space="preserve">Platform </t>
        </is>
      </c>
      <c r="I67" s="8" t="n">
        <v>50</v>
      </c>
      <c r="J67" s="10" t="n"/>
      <c r="K67" s="11" t="n">
        <v>699.05</v>
      </c>
      <c r="L67" s="11" t="n">
        <v>724.42</v>
      </c>
      <c r="M67" s="9" t="n">
        <v>-3.502112034455151</v>
      </c>
      <c r="N67" s="10" t="inlineStr">
        <is>
          <t>exact</t>
        </is>
      </c>
    </row>
    <row r="68">
      <c r="A68" s="10" t="inlineStr">
        <is>
          <t>50-199</t>
        </is>
      </c>
      <c r="B68" s="8" t="n">
        <v>224044</v>
      </c>
      <c r="C68" s="10" t="inlineStr">
        <is>
          <t>RW-260819-090831</t>
        </is>
      </c>
      <c r="D68" s="10" t="inlineStr">
        <is>
          <t>PCA- New Oxford</t>
        </is>
      </c>
      <c r="E68" s="10" t="inlineStr">
        <is>
          <t>SuperGut PDQ</t>
        </is>
      </c>
      <c r="F68" s="10" t="inlineStr">
        <is>
          <t>Tray</t>
        </is>
      </c>
      <c r="G68" s="8" t="n">
        <v>110</v>
      </c>
      <c r="H68" s="10" t="inlineStr">
        <is>
          <t xml:space="preserve">Graphic Block </t>
        </is>
      </c>
      <c r="I68" s="8" t="n">
        <v>110</v>
      </c>
      <c r="J68" s="10" t="inlineStr">
        <is>
          <t>Gloss</t>
        </is>
      </c>
      <c r="K68" s="11" t="n">
        <v>1913.18</v>
      </c>
      <c r="L68" s="11" t="n">
        <v>1043.2</v>
      </c>
      <c r="M68" s="9" t="n">
        <v>83.39532208588956</v>
      </c>
      <c r="N68" s="10" t="inlineStr">
        <is>
          <t>exact</t>
        </is>
      </c>
    </row>
    <row r="69">
      <c r="A69" s="10" t="inlineStr">
        <is>
          <t>50-199</t>
        </is>
      </c>
      <c r="B69" s="8" t="n">
        <v>224044</v>
      </c>
      <c r="C69" s="10" t="inlineStr">
        <is>
          <t>RW-260819-090831</t>
        </is>
      </c>
      <c r="D69" s="10" t="inlineStr">
        <is>
          <t>PCA- New Oxford</t>
        </is>
      </c>
      <c r="E69" s="10" t="inlineStr">
        <is>
          <t>SuperGut PDQ</t>
        </is>
      </c>
      <c r="F69" s="10" t="inlineStr">
        <is>
          <t>Platform</t>
        </is>
      </c>
      <c r="G69" s="8" t="n">
        <v>110</v>
      </c>
      <c r="H69" s="10" t="inlineStr">
        <is>
          <t xml:space="preserve">Platform </t>
        </is>
      </c>
      <c r="I69" s="8" t="n">
        <v>110</v>
      </c>
      <c r="J69" s="10" t="inlineStr">
        <is>
          <t>Gloss</t>
        </is>
      </c>
      <c r="K69" s="11" t="n">
        <v>1036.02</v>
      </c>
      <c r="L69" s="11" t="n">
        <v>1290.96</v>
      </c>
      <c r="M69" s="9" t="n">
        <v>-19.74809444134598</v>
      </c>
      <c r="N69" s="10" t="inlineStr">
        <is>
          <t>exact</t>
        </is>
      </c>
    </row>
    <row r="70">
      <c r="A70" s="10" t="inlineStr">
        <is>
          <t>50-199</t>
        </is>
      </c>
      <c r="B70" s="8" t="n">
        <v>224044</v>
      </c>
      <c r="C70" s="10" t="inlineStr">
        <is>
          <t>RW-260819-090831</t>
        </is>
      </c>
      <c r="D70" s="10" t="inlineStr">
        <is>
          <t>PCA- New Oxford</t>
        </is>
      </c>
      <c r="E70" s="10" t="inlineStr">
        <is>
          <t>SuperGut PDQ</t>
        </is>
      </c>
      <c r="F70" s="10" t="inlineStr">
        <is>
          <t>Graphic Block</t>
        </is>
      </c>
      <c r="G70" s="8" t="n">
        <v>110</v>
      </c>
      <c r="H70" s="10" t="inlineStr">
        <is>
          <t xml:space="preserve">Tray </t>
        </is>
      </c>
      <c r="I70" s="8" t="n">
        <v>110</v>
      </c>
      <c r="J70" s="10" t="n"/>
      <c r="K70" s="11" t="n">
        <v>1057.48</v>
      </c>
      <c r="L70" s="11" t="n">
        <v>1954.36</v>
      </c>
      <c r="M70" s="9" t="n">
        <v>-45.89123805235473</v>
      </c>
      <c r="N70" s="10" t="inlineStr">
        <is>
          <t>exact</t>
        </is>
      </c>
    </row>
    <row r="71">
      <c r="A71" s="10" t="inlineStr">
        <is>
          <t>50-199</t>
        </is>
      </c>
      <c r="B71" s="8" t="n">
        <v>223354</v>
      </c>
      <c r="C71" s="10" t="inlineStr">
        <is>
          <t>RW-260807-141317</t>
        </is>
      </c>
      <c r="D71" s="10" t="inlineStr">
        <is>
          <t>Pax Corrugated - an affiliate of Welch Packaging</t>
        </is>
      </c>
      <c r="E71" s="10" t="inlineStr">
        <is>
          <t>Gorilla Glue 115470</t>
        </is>
      </c>
      <c r="F71" s="10" t="inlineStr">
        <is>
          <t>Fold Over Header</t>
        </is>
      </c>
      <c r="G71" s="8" t="n">
        <v>90</v>
      </c>
      <c r="H71" s="10" t="inlineStr">
        <is>
          <t>Header</t>
        </is>
      </c>
      <c r="I71" s="8" t="n">
        <v>90</v>
      </c>
      <c r="J71" s="10" t="inlineStr">
        <is>
          <t>Gloss</t>
        </is>
      </c>
      <c r="K71" s="11" t="n">
        <v>871.52</v>
      </c>
      <c r="L71" s="11" t="n">
        <v>824.23</v>
      </c>
      <c r="M71" s="9" t="n">
        <v>5.737476189898446</v>
      </c>
      <c r="N71" s="10" t="inlineStr">
        <is>
          <t>qty-unique</t>
        </is>
      </c>
    </row>
    <row r="72">
      <c r="A72" s="10" t="inlineStr">
        <is>
          <t>50-199</t>
        </is>
      </c>
      <c r="B72" s="8" t="n">
        <v>223701</v>
      </c>
      <c r="C72" s="10" t="inlineStr">
        <is>
          <t>RW-260720-133223</t>
        </is>
      </c>
      <c r="D72" s="10" t="inlineStr">
        <is>
          <t>Tavens</t>
        </is>
      </c>
      <c r="E72" s="10" t="inlineStr">
        <is>
          <t>TR-10351 16x8.5x6</t>
        </is>
      </c>
      <c r="F72" s="10" t="inlineStr">
        <is>
          <t>Front Tuck Mailer 16x8.5x3.25</t>
        </is>
      </c>
      <c r="G72" s="8" t="n">
        <v>50</v>
      </c>
      <c r="H72" s="10" t="n">
        <v/>
      </c>
      <c r="I72" s="8" t="n"/>
      <c r="J72" s="10" t="inlineStr">
        <is>
          <t>Gloss</t>
        </is>
      </c>
      <c r="K72" s="11" t="n">
        <v>923.86</v>
      </c>
      <c r="L72" s="11" t="n"/>
      <c r="M72" s="9" t="n"/>
      <c r="N72" s="10" t="inlineStr">
        <is>
          <t>unmatched</t>
        </is>
      </c>
    </row>
    <row r="73">
      <c r="A73" s="10" t="inlineStr">
        <is>
          <t>50-199</t>
        </is>
      </c>
      <c r="B73" s="8" t="n">
        <v>223701</v>
      </c>
      <c r="C73" s="10" t="inlineStr">
        <is>
          <t>RW-260720-133223</t>
        </is>
      </c>
      <c r="D73" s="10" t="inlineStr">
        <is>
          <t>Tavens</t>
        </is>
      </c>
      <c r="E73" s="10" t="inlineStr">
        <is>
          <t>TR-10351 16x8.5x6</t>
        </is>
      </c>
      <c r="F73" s="10" t="inlineStr">
        <is>
          <t>Front Tuck Mailer 16x8.5x3.25</t>
        </is>
      </c>
      <c r="G73" s="8" t="n">
        <v>100</v>
      </c>
      <c r="H73" s="10" t="n">
        <v/>
      </c>
      <c r="I73" s="8" t="n"/>
      <c r="J73" s="10" t="inlineStr">
        <is>
          <t>Gloss</t>
        </is>
      </c>
      <c r="K73" s="11" t="n">
        <v>1346.05</v>
      </c>
      <c r="L73" s="11" t="n"/>
      <c r="M73" s="9" t="n"/>
      <c r="N73" s="10" t="inlineStr">
        <is>
          <t>unmatched</t>
        </is>
      </c>
    </row>
    <row r="74">
      <c r="A74" s="10" t="inlineStr">
        <is>
          <t>50-199</t>
        </is>
      </c>
      <c r="B74" s="8" t="n">
        <v>224257</v>
      </c>
      <c r="C74" s="10" t="inlineStr">
        <is>
          <t>CD-260818-152740</t>
        </is>
      </c>
      <c r="D74" s="10" t="inlineStr">
        <is>
          <t>Tavens</t>
        </is>
      </c>
      <c r="E74" s="10" t="inlineStr">
        <is>
          <t>Digital PW Display</t>
        </is>
      </c>
      <c r="F74" s="10" t="inlineStr">
        <is>
          <t>Display Header</t>
        </is>
      </c>
      <c r="G74" s="8" t="n">
        <v>100</v>
      </c>
      <c r="H74" s="10" t="inlineStr">
        <is>
          <t>Header</t>
        </is>
      </c>
      <c r="I74" s="8" t="n">
        <v>100</v>
      </c>
      <c r="J74" s="10" t="inlineStr">
        <is>
          <t>Satin</t>
        </is>
      </c>
      <c r="K74" s="11" t="n">
        <v>827.0599999999999</v>
      </c>
      <c r="L74" s="11" t="n">
        <v>520.0700000000001</v>
      </c>
      <c r="M74" s="9" t="n">
        <v>59.02859230488201</v>
      </c>
      <c r="N74" s="10" t="inlineStr">
        <is>
          <t>qty-tie+name(0.60)</t>
        </is>
      </c>
    </row>
    <row r="75">
      <c r="A75" s="10" t="inlineStr">
        <is>
          <t>50-199</t>
        </is>
      </c>
      <c r="B75" s="8" t="n">
        <v>222183</v>
      </c>
      <c r="C75" s="10" t="inlineStr">
        <is>
          <t>CS-260806-125309</t>
        </is>
      </c>
      <c r="D75" s="10" t="inlineStr">
        <is>
          <t>The Standard Group</t>
        </is>
      </c>
      <c r="E75" s="10" t="inlineStr">
        <is>
          <t>Artifex - Sample Box &amp; Tray - 22 Samples Size</t>
        </is>
      </c>
      <c r="F75" s="10" t="inlineStr">
        <is>
          <t>Outer Box</t>
        </is>
      </c>
      <c r="G75" s="8" t="n">
        <v>101</v>
      </c>
      <c r="H75" s="10" t="inlineStr">
        <is>
          <t>Outer Box</t>
        </is>
      </c>
      <c r="I75" s="8" t="n">
        <v>101</v>
      </c>
      <c r="J75" s="10" t="inlineStr">
        <is>
          <t>Satin</t>
        </is>
      </c>
      <c r="K75" s="11" t="n">
        <v>1783.73</v>
      </c>
      <c r="L75" s="11" t="n">
        <v>1597.84</v>
      </c>
      <c r="M75" s="9" t="n">
        <v>11.63383067140641</v>
      </c>
      <c r="N75" s="10" t="inlineStr">
        <is>
          <t>qty-tie+name(1.00)</t>
        </is>
      </c>
    </row>
    <row r="76">
      <c r="A76" s="10" t="inlineStr">
        <is>
          <t>50-199</t>
        </is>
      </c>
      <c r="B76" s="8" t="n">
        <v>222183</v>
      </c>
      <c r="C76" s="10" t="inlineStr">
        <is>
          <t>CS-260806-125309</t>
        </is>
      </c>
      <c r="D76" s="10" t="inlineStr">
        <is>
          <t>The Standard Group</t>
        </is>
      </c>
      <c r="E76" s="10" t="inlineStr">
        <is>
          <t>Artifex - Sample Box &amp; Tray - 22 Samples Size</t>
        </is>
      </c>
      <c r="F76" s="10" t="inlineStr">
        <is>
          <t>Tray</t>
        </is>
      </c>
      <c r="G76" s="8" t="n">
        <v>101</v>
      </c>
      <c r="H76" s="10" t="inlineStr">
        <is>
          <t>Tray</t>
        </is>
      </c>
      <c r="I76" s="8" t="n">
        <v>101</v>
      </c>
      <c r="J76" s="10" t="inlineStr">
        <is>
          <t>Satin</t>
        </is>
      </c>
      <c r="K76" s="11" t="n">
        <v>868.52</v>
      </c>
      <c r="L76" s="11" t="n">
        <v>676.49</v>
      </c>
      <c r="M76" s="9" t="n">
        <v>28.38622891690934</v>
      </c>
      <c r="N76" s="10" t="inlineStr">
        <is>
          <t>qty-unique</t>
        </is>
      </c>
    </row>
    <row r="77">
      <c r="A77" s="10" t="inlineStr">
        <is>
          <t>50-199</t>
        </is>
      </c>
      <c r="B77" s="8" t="n">
        <v>222219</v>
      </c>
      <c r="C77" s="10" t="inlineStr">
        <is>
          <t>CS-260805-150359</t>
        </is>
      </c>
      <c r="D77" s="10" t="n">
        <v/>
      </c>
      <c r="E77" s="10" t="n">
        <v/>
      </c>
      <c r="F77" s="10" t="inlineStr">
        <is>
          <t>Folder SPF</t>
        </is>
      </c>
      <c r="G77" s="8" t="n">
        <v>120</v>
      </c>
      <c r="H77" s="10" t="inlineStr">
        <is>
          <t>DL-42091</t>
        </is>
      </c>
      <c r="I77" s="8" t="n">
        <v>120</v>
      </c>
      <c r="J77" s="10" t="inlineStr">
        <is>
          <t>Satin</t>
        </is>
      </c>
      <c r="K77" s="11" t="n">
        <v>3042.05</v>
      </c>
      <c r="L77" s="11" t="n">
        <v>2301.63</v>
      </c>
      <c r="M77" s="9" t="n">
        <v>32.16937561641097</v>
      </c>
      <c r="N77" s="10" t="inlineStr">
        <is>
          <t>qty-unique</t>
        </is>
      </c>
    </row>
    <row r="78">
      <c r="A78" s="10" t="inlineStr">
        <is>
          <t>50-199</t>
        </is>
      </c>
      <c r="B78" s="8" t="n">
        <v>223376</v>
      </c>
      <c r="C78" s="10" t="inlineStr">
        <is>
          <t>RW-260727-105300</t>
        </is>
      </c>
      <c r="D78" s="10" t="n">
        <v/>
      </c>
      <c r="E78" s="10" t="inlineStr">
        <is>
          <t>MPC - Meijer Iams</t>
        </is>
      </c>
      <c r="F78" s="10" t="inlineStr">
        <is>
          <t>D26-0126 Header</t>
        </is>
      </c>
      <c r="G78" s="8" t="n">
        <v>150</v>
      </c>
      <c r="H78" s="10" t="inlineStr">
        <is>
          <t>D26-0126 Header</t>
        </is>
      </c>
      <c r="I78" s="8" t="n">
        <v>75</v>
      </c>
      <c r="J78" s="10" t="inlineStr">
        <is>
          <t>Gloss</t>
        </is>
      </c>
      <c r="K78" s="11" t="n">
        <v>1348.16</v>
      </c>
      <c r="L78" s="11" t="n">
        <v>1163.37</v>
      </c>
      <c r="M78" s="9" t="n">
        <v>15.88402657795888</v>
      </c>
      <c r="N78" s="10" t="inlineStr">
        <is>
          <t>name(1.00)</t>
        </is>
      </c>
    </row>
    <row r="79">
      <c r="A79" s="10" t="inlineStr">
        <is>
          <t>50-199</t>
        </is>
      </c>
      <c r="B79" s="8" t="n">
        <v>223376</v>
      </c>
      <c r="C79" s="10" t="inlineStr">
        <is>
          <t>RW-260727-105300</t>
        </is>
      </c>
      <c r="D79" s="10" t="n">
        <v/>
      </c>
      <c r="E79" s="10" t="inlineStr">
        <is>
          <t>MPC - Meijer Iams</t>
        </is>
      </c>
      <c r="F79" s="10" t="inlineStr">
        <is>
          <t>D26-0131 Graphic Panel</t>
        </is>
      </c>
      <c r="G79" s="8" t="n">
        <v>150</v>
      </c>
      <c r="H79" s="10" t="n">
        <v/>
      </c>
      <c r="I79" s="8" t="n"/>
      <c r="J79" s="10" t="inlineStr">
        <is>
          <t>Satin</t>
        </is>
      </c>
      <c r="K79" s="11" t="n">
        <v>1980.23</v>
      </c>
      <c r="L79" s="11" t="n"/>
      <c r="M79" s="9" t="n"/>
      <c r="N79" s="10" t="inlineStr">
        <is>
          <t>no-iq-rows</t>
        </is>
      </c>
    </row>
    <row r="80">
      <c r="A80" s="10" t="inlineStr">
        <is>
          <t>200-999</t>
        </is>
      </c>
      <c r="B80" s="8" t="n">
        <v>222738</v>
      </c>
      <c r="C80" s="10" t="inlineStr">
        <is>
          <t>RW-260806-130832</t>
        </is>
      </c>
      <c r="D80" s="10" t="inlineStr">
        <is>
          <t>Apex Display Group</t>
        </is>
      </c>
      <c r="E80" s="10" t="inlineStr">
        <is>
          <t>6 Can Mailer</t>
        </is>
      </c>
      <c r="F80" s="10" t="inlineStr">
        <is>
          <t>Mailer</t>
        </is>
      </c>
      <c r="G80" s="8" t="n">
        <v>250</v>
      </c>
      <c r="H80" s="10" t="inlineStr">
        <is>
          <t>Mailer</t>
        </is>
      </c>
      <c r="I80" s="8" t="n">
        <v>250</v>
      </c>
      <c r="J80" s="10" t="inlineStr">
        <is>
          <t>Gloss</t>
        </is>
      </c>
      <c r="K80" s="11" t="n">
        <v>2718.5</v>
      </c>
      <c r="L80" s="11" t="n">
        <v>5647.74</v>
      </c>
      <c r="M80" s="9" t="n">
        <v>-51.8657020330256</v>
      </c>
      <c r="N80" s="10" t="inlineStr">
        <is>
          <t>qty-tie+name(1.00)</t>
        </is>
      </c>
    </row>
    <row r="81">
      <c r="A81" s="10" t="inlineStr">
        <is>
          <t>200-999</t>
        </is>
      </c>
      <c r="B81" s="8" t="n">
        <v>222738</v>
      </c>
      <c r="C81" s="10" t="inlineStr">
        <is>
          <t>RW-260806-130832</t>
        </is>
      </c>
      <c r="D81" s="10" t="inlineStr">
        <is>
          <t>Apex Display Group</t>
        </is>
      </c>
      <c r="E81" s="10" t="inlineStr">
        <is>
          <t>6 Can Mailer</t>
        </is>
      </c>
      <c r="F81" s="10" t="inlineStr">
        <is>
          <t>Insert</t>
        </is>
      </c>
      <c r="G81" s="8" t="n">
        <v>250</v>
      </c>
      <c r="H81" s="10" t="inlineStr">
        <is>
          <t>Insert</t>
        </is>
      </c>
      <c r="I81" s="8" t="n">
        <v>250</v>
      </c>
      <c r="J81" s="10" t="inlineStr">
        <is>
          <t>Gloss</t>
        </is>
      </c>
      <c r="K81" s="11" t="n">
        <v>1521.38</v>
      </c>
      <c r="L81" s="11" t="n">
        <v>2351.27</v>
      </c>
      <c r="M81" s="9" t="n">
        <v>-35.2953935532712</v>
      </c>
      <c r="N81" s="10" t="inlineStr">
        <is>
          <t>qty-unique</t>
        </is>
      </c>
    </row>
    <row r="82">
      <c r="A82" s="10" t="inlineStr">
        <is>
          <t>200-999</t>
        </is>
      </c>
      <c r="B82" s="8" t="n">
        <v>222971</v>
      </c>
      <c r="C82" s="10" t="inlineStr">
        <is>
          <t>RW-260806-165344</t>
        </is>
      </c>
      <c r="D82" s="10" t="inlineStr">
        <is>
          <t>Apex Display Group</t>
        </is>
      </c>
      <c r="E82" s="10" t="inlineStr">
        <is>
          <t>Header - 2 Versions</t>
        </is>
      </c>
      <c r="F82" s="10" t="inlineStr">
        <is>
          <t>Protein Breads</t>
        </is>
      </c>
      <c r="G82" s="8" t="n">
        <v>520</v>
      </c>
      <c r="H82" s="10" t="inlineStr">
        <is>
          <t xml:space="preserve">Header #1 Protein Breads </t>
        </is>
      </c>
      <c r="I82" s="8" t="n">
        <v>521</v>
      </c>
      <c r="J82" s="10" t="inlineStr">
        <is>
          <t>Gloss</t>
        </is>
      </c>
      <c r="K82" s="11" t="n">
        <v>1517.89</v>
      </c>
      <c r="L82" s="11" t="n">
        <v>1368.13</v>
      </c>
      <c r="M82" s="9" t="n">
        <v>10.94632819980557</v>
      </c>
      <c r="N82" s="10" t="inlineStr">
        <is>
          <t>qty±20+name(0.74)</t>
        </is>
      </c>
    </row>
    <row r="83">
      <c r="A83" s="10" t="inlineStr">
        <is>
          <t>200-999</t>
        </is>
      </c>
      <c r="B83" s="8" t="n">
        <v>222971</v>
      </c>
      <c r="C83" s="10" t="inlineStr">
        <is>
          <t>RW-260806-165344</t>
        </is>
      </c>
      <c r="D83" s="10" t="inlineStr">
        <is>
          <t>Apex Display Group</t>
        </is>
      </c>
      <c r="E83" s="10" t="inlineStr">
        <is>
          <t>Header - 2 Versions</t>
        </is>
      </c>
      <c r="F83" s="10" t="inlineStr">
        <is>
          <t>Super Seeds</t>
        </is>
      </c>
      <c r="G83" s="8" t="n">
        <v>520</v>
      </c>
      <c r="H83" s="10" t="inlineStr">
        <is>
          <t>Header #2 Super Seeds</t>
        </is>
      </c>
      <c r="I83" s="8" t="n">
        <v>521</v>
      </c>
      <c r="J83" s="10" t="inlineStr">
        <is>
          <t>Satin</t>
        </is>
      </c>
      <c r="K83" s="11" t="n">
        <v>1517.89</v>
      </c>
      <c r="L83" s="11" t="n">
        <v>1159.03</v>
      </c>
      <c r="M83" s="9" t="n">
        <v>30.96209761611004</v>
      </c>
      <c r="N83" s="10" t="inlineStr">
        <is>
          <t>qty±20+name(0.69)</t>
        </is>
      </c>
    </row>
    <row r="84">
      <c r="A84" s="10" t="inlineStr">
        <is>
          <t>200-999</t>
        </is>
      </c>
      <c r="B84" s="8" t="n">
        <v>223498</v>
      </c>
      <c r="C84" s="10" t="inlineStr">
        <is>
          <t>RW-260706-110912</t>
        </is>
      </c>
      <c r="D84" s="10" t="inlineStr">
        <is>
          <t>Apex Display Group</t>
        </is>
      </c>
      <c r="E84" s="10" t="inlineStr">
        <is>
          <t>48 Count Nacho Fiesta</t>
        </is>
      </c>
      <c r="F84" s="10" t="inlineStr">
        <is>
          <t>Display Header</t>
        </is>
      </c>
      <c r="G84" s="8" t="n">
        <v>250</v>
      </c>
      <c r="H84" s="10" t="inlineStr">
        <is>
          <t>Header</t>
        </is>
      </c>
      <c r="I84" s="8" t="n">
        <v>250</v>
      </c>
      <c r="J84" s="10" t="inlineStr">
        <is>
          <t>Gloss</t>
        </is>
      </c>
      <c r="K84" s="11" t="n">
        <v>991.12</v>
      </c>
      <c r="L84" s="11" t="n">
        <v>818.97</v>
      </c>
      <c r="M84" s="9" t="n">
        <v>21.02030599411455</v>
      </c>
      <c r="N84" s="10" t="inlineStr">
        <is>
          <t>qty-unique</t>
        </is>
      </c>
    </row>
    <row r="85">
      <c r="A85" s="10" t="inlineStr">
        <is>
          <t>200-999</t>
        </is>
      </c>
      <c r="B85" s="8" t="n">
        <v>223498</v>
      </c>
      <c r="C85" s="10" t="inlineStr">
        <is>
          <t>RW-260706-110912</t>
        </is>
      </c>
      <c r="D85" s="10" t="inlineStr">
        <is>
          <t>Apex Display Group</t>
        </is>
      </c>
      <c r="E85" s="10" t="inlineStr">
        <is>
          <t>48 Count Nacho Fiesta</t>
        </is>
      </c>
      <c r="F85" s="10" t="inlineStr">
        <is>
          <t>Display Header</t>
        </is>
      </c>
      <c r="G85" s="8" t="n">
        <v>350</v>
      </c>
      <c r="H85" s="10" t="inlineStr">
        <is>
          <t>Header</t>
        </is>
      </c>
      <c r="I85" s="8" t="n">
        <v>350</v>
      </c>
      <c r="J85" s="10" t="inlineStr">
        <is>
          <t>Gloss</t>
        </is>
      </c>
      <c r="K85" s="11" t="n">
        <v>1208.46</v>
      </c>
      <c r="L85" s="11" t="n">
        <v>958.6</v>
      </c>
      <c r="M85" s="9" t="n">
        <v>26.06509493010641</v>
      </c>
      <c r="N85" s="10" t="inlineStr">
        <is>
          <t>qty-unique</t>
        </is>
      </c>
    </row>
    <row r="86">
      <c r="A86" s="10" t="inlineStr">
        <is>
          <t>200-999</t>
        </is>
      </c>
      <c r="B86" s="8" t="n">
        <v>223498</v>
      </c>
      <c r="C86" s="10" t="inlineStr">
        <is>
          <t>RW-260706-110912</t>
        </is>
      </c>
      <c r="D86" s="10" t="inlineStr">
        <is>
          <t>Apex Display Group</t>
        </is>
      </c>
      <c r="E86" s="10" t="inlineStr">
        <is>
          <t>48 Count Nacho Fiesta</t>
        </is>
      </c>
      <c r="F86" s="10" t="inlineStr">
        <is>
          <t>Display Header</t>
        </is>
      </c>
      <c r="G86" s="8" t="n">
        <v>500</v>
      </c>
      <c r="H86" s="10" t="inlineStr">
        <is>
          <t>Header</t>
        </is>
      </c>
      <c r="I86" s="8" t="n">
        <v>500</v>
      </c>
      <c r="J86" s="10" t="inlineStr">
        <is>
          <t>Gloss</t>
        </is>
      </c>
      <c r="K86" s="11" t="n">
        <v>1478.65</v>
      </c>
      <c r="L86" s="11" t="n">
        <v>1168.02</v>
      </c>
      <c r="M86" s="9" t="n">
        <v>26.59457885995104</v>
      </c>
      <c r="N86" s="10" t="inlineStr">
        <is>
          <t>qty-unique</t>
        </is>
      </c>
    </row>
    <row r="87">
      <c r="A87" s="10" t="inlineStr">
        <is>
          <t>200-999</t>
        </is>
      </c>
      <c r="B87" s="8" t="n">
        <v>223498</v>
      </c>
      <c r="C87" s="10" t="inlineStr">
        <is>
          <t>RW-260706-110912</t>
        </is>
      </c>
      <c r="D87" s="10" t="inlineStr">
        <is>
          <t>Apex Display Group</t>
        </is>
      </c>
      <c r="E87" s="10" t="inlineStr">
        <is>
          <t>48 Count Nacho Fiesta</t>
        </is>
      </c>
      <c r="F87" s="10" t="inlineStr">
        <is>
          <t>Display Header</t>
        </is>
      </c>
      <c r="G87" s="8" t="n">
        <v>750</v>
      </c>
      <c r="H87" s="10" t="inlineStr">
        <is>
          <t>Header</t>
        </is>
      </c>
      <c r="I87" s="8" t="n">
        <v>750</v>
      </c>
      <c r="J87" s="10" t="inlineStr">
        <is>
          <t>Gloss</t>
        </is>
      </c>
      <c r="K87" s="11" t="n">
        <v>1565.74</v>
      </c>
      <c r="L87" s="11" t="n">
        <v>1517.07</v>
      </c>
      <c r="M87" s="9" t="n">
        <v>3.208157830554956</v>
      </c>
      <c r="N87" s="10" t="inlineStr">
        <is>
          <t>qty-unique</t>
        </is>
      </c>
    </row>
    <row r="88">
      <c r="A88" s="10" t="inlineStr">
        <is>
          <t>200-999</t>
        </is>
      </c>
      <c r="B88" s="8" t="n">
        <v>223837</v>
      </c>
      <c r="C88" s="10" t="inlineStr">
        <is>
          <t>RW-260807-142934</t>
        </is>
      </c>
      <c r="D88" s="10" t="inlineStr">
        <is>
          <t>Apex Display Group</t>
        </is>
      </c>
      <c r="E88" s="10" t="inlineStr">
        <is>
          <t>1160-10-14 Cento</t>
        </is>
      </c>
      <c r="F88" s="10" t="inlineStr">
        <is>
          <t>Header</t>
        </is>
      </c>
      <c r="G88" s="8" t="n">
        <v>501</v>
      </c>
      <c r="H88" s="10" t="inlineStr">
        <is>
          <t>Item #1160-10-14</t>
        </is>
      </c>
      <c r="I88" s="8" t="n">
        <v>501</v>
      </c>
      <c r="J88" s="10" t="inlineStr">
        <is>
          <t>Gloss</t>
        </is>
      </c>
      <c r="K88" s="11" t="n">
        <v>1617.15</v>
      </c>
      <c r="L88" s="11" t="n">
        <v>1221.28</v>
      </c>
      <c r="M88" s="9" t="n">
        <v>32.41435215511596</v>
      </c>
      <c r="N88" s="10" t="inlineStr">
        <is>
          <t>qty-unique</t>
        </is>
      </c>
    </row>
    <row r="89">
      <c r="A89" s="10" t="inlineStr">
        <is>
          <t>200-999</t>
        </is>
      </c>
      <c r="B89" s="8" t="n">
        <v>224446</v>
      </c>
      <c r="C89" s="10" t="inlineStr">
        <is>
          <t>CS-260826-115130</t>
        </is>
      </c>
      <c r="D89" s="10" t="inlineStr">
        <is>
          <t>Apex Display Group</t>
        </is>
      </c>
      <c r="E89" s="10" t="inlineStr">
        <is>
          <t>Barrys Gold 80ct</t>
        </is>
      </c>
      <c r="F89" s="10" t="inlineStr">
        <is>
          <t>Display Header</t>
        </is>
      </c>
      <c r="G89" s="8" t="n">
        <v>600</v>
      </c>
      <c r="H89" s="10" t="inlineStr">
        <is>
          <t>Header</t>
        </is>
      </c>
      <c r="I89" s="8" t="n">
        <v>600</v>
      </c>
      <c r="J89" s="10" t="inlineStr">
        <is>
          <t>Gloss</t>
        </is>
      </c>
      <c r="K89" s="11" t="n">
        <v>1232.87</v>
      </c>
      <c r="L89" s="11" t="n">
        <v>1237.25</v>
      </c>
      <c r="M89" s="9" t="n">
        <v>-0.35401091129522</v>
      </c>
      <c r="N89" s="10" t="inlineStr">
        <is>
          <t>qty-unique</t>
        </is>
      </c>
    </row>
    <row r="90">
      <c r="A90" s="10" t="inlineStr">
        <is>
          <t>200-999</t>
        </is>
      </c>
      <c r="B90" s="8" t="n">
        <v>224446</v>
      </c>
      <c r="C90" s="10" t="inlineStr">
        <is>
          <t>CS-260826-115130</t>
        </is>
      </c>
      <c r="D90" s="10" t="inlineStr">
        <is>
          <t>Apex Display Group</t>
        </is>
      </c>
      <c r="E90" s="10" t="inlineStr">
        <is>
          <t>Barrys Gold 80ct</t>
        </is>
      </c>
      <c r="F90" s="10" t="inlineStr">
        <is>
          <t>Display Header</t>
        </is>
      </c>
      <c r="G90" s="8" t="n">
        <v>800</v>
      </c>
      <c r="H90" s="10" t="inlineStr">
        <is>
          <t>Header</t>
        </is>
      </c>
      <c r="I90" s="8" t="n">
        <v>800</v>
      </c>
      <c r="J90" s="10" t="inlineStr">
        <is>
          <t>Gloss</t>
        </is>
      </c>
      <c r="K90" s="11" t="n">
        <v>1550.27</v>
      </c>
      <c r="L90" s="11" t="n">
        <v>1492.94</v>
      </c>
      <c r="M90" s="9" t="n">
        <v>3.840073948048811</v>
      </c>
      <c r="N90" s="10" t="inlineStr">
        <is>
          <t>qty-unique</t>
        </is>
      </c>
    </row>
    <row r="91">
      <c r="A91" s="10" t="inlineStr">
        <is>
          <t>200-999</t>
        </is>
      </c>
      <c r="B91" s="8" t="n">
        <v>224504</v>
      </c>
      <c r="C91" s="10" t="inlineStr">
        <is>
          <t>CD-260825-134048</t>
        </is>
      </c>
      <c r="D91" s="10" t="inlineStr">
        <is>
          <t>Apex Display Group</t>
        </is>
      </c>
      <c r="E91" s="10" t="inlineStr">
        <is>
          <t>Universal</t>
        </is>
      </c>
      <c r="F91" s="10" t="inlineStr">
        <is>
          <t>D/C Tray</t>
        </is>
      </c>
      <c r="G91" s="8" t="n">
        <v>500</v>
      </c>
      <c r="H91" s="10" t="inlineStr">
        <is>
          <t>Bottom Graphic</t>
        </is>
      </c>
      <c r="I91" s="8" t="n">
        <v>500</v>
      </c>
      <c r="J91" s="10" t="inlineStr">
        <is>
          <t>Gloss</t>
        </is>
      </c>
      <c r="K91" s="11" t="n">
        <v>1432.04</v>
      </c>
      <c r="L91" s="11" t="n">
        <v>1120.4</v>
      </c>
      <c r="M91" s="9" t="n">
        <v>27.81506604784004</v>
      </c>
      <c r="N91" s="10" t="inlineStr">
        <is>
          <t>qty-unique</t>
        </is>
      </c>
    </row>
    <row r="92">
      <c r="A92" s="10" t="inlineStr">
        <is>
          <t>200-999</t>
        </is>
      </c>
      <c r="B92" s="8" t="n">
        <v>224504</v>
      </c>
      <c r="C92" s="10" t="inlineStr">
        <is>
          <t>CD-260825-134048</t>
        </is>
      </c>
      <c r="D92" s="10" t="inlineStr">
        <is>
          <t>Apex Display Group</t>
        </is>
      </c>
      <c r="E92" s="10" t="inlineStr">
        <is>
          <t>Universal</t>
        </is>
      </c>
      <c r="F92" s="10" t="inlineStr">
        <is>
          <t>D/C Tray</t>
        </is>
      </c>
      <c r="G92" s="8" t="n">
        <v>750</v>
      </c>
      <c r="H92" s="10" t="inlineStr">
        <is>
          <t>Bottom Graphic</t>
        </is>
      </c>
      <c r="I92" s="8" t="n">
        <v>750</v>
      </c>
      <c r="J92" s="10" t="inlineStr">
        <is>
          <t>Gloss</t>
        </is>
      </c>
      <c r="K92" s="11" t="n">
        <v>1535.77</v>
      </c>
      <c r="L92" s="11" t="n">
        <v>1419.01</v>
      </c>
      <c r="M92" s="9" t="n">
        <v>8.228271823313436</v>
      </c>
      <c r="N92" s="10" t="inlineStr">
        <is>
          <t>qty-unique</t>
        </is>
      </c>
    </row>
    <row r="93">
      <c r="A93" s="10" t="inlineStr">
        <is>
          <t>200-999</t>
        </is>
      </c>
      <c r="B93" s="8" t="n">
        <v>224024</v>
      </c>
      <c r="C93" s="10" t="inlineStr">
        <is>
          <t>RW-260819-091905</t>
        </is>
      </c>
      <c r="D93" s="10" t="inlineStr">
        <is>
          <t>BCI Knoxville Division</t>
        </is>
      </c>
      <c r="E93" s="10" t="inlineStr">
        <is>
          <t>Part 11166</t>
        </is>
      </c>
      <c r="F93" s="10" t="inlineStr">
        <is>
          <t>D/C Non-Joined</t>
        </is>
      </c>
      <c r="G93" s="8" t="n">
        <v>300</v>
      </c>
      <c r="H93" s="10" t="n">
        <v>11166</v>
      </c>
      <c r="I93" s="8" t="n">
        <v>300</v>
      </c>
      <c r="J93" s="10" t="inlineStr">
        <is>
          <t>Satin</t>
        </is>
      </c>
      <c r="K93" s="11" t="n">
        <v>4168.43</v>
      </c>
      <c r="L93" s="11" t="n">
        <v>3705.6</v>
      </c>
      <c r="M93" s="9" t="n">
        <v>12.49001511226253</v>
      </c>
      <c r="N93" s="10" t="inlineStr">
        <is>
          <t>exact</t>
        </is>
      </c>
    </row>
    <row r="94">
      <c r="A94" s="10" t="inlineStr">
        <is>
          <t>200-999</t>
        </is>
      </c>
      <c r="B94" s="8" t="n">
        <v>224024</v>
      </c>
      <c r="C94" s="10" t="inlineStr">
        <is>
          <t>RW-260819-091905</t>
        </is>
      </c>
      <c r="D94" s="10" t="inlineStr">
        <is>
          <t>BCI Knoxville Division</t>
        </is>
      </c>
      <c r="E94" s="10" t="inlineStr">
        <is>
          <t>Part 11166</t>
        </is>
      </c>
      <c r="F94" s="10" t="inlineStr">
        <is>
          <t>D/C Non-Joined</t>
        </is>
      </c>
      <c r="G94" s="8" t="n">
        <v>500</v>
      </c>
      <c r="H94" s="10" t="n">
        <v>11166</v>
      </c>
      <c r="I94" s="8" t="n">
        <v>500</v>
      </c>
      <c r="J94" s="10" t="inlineStr">
        <is>
          <t>Satin</t>
        </is>
      </c>
      <c r="K94" s="11" t="n">
        <v>6394.56</v>
      </c>
      <c r="L94" s="11" t="n">
        <v>5920.7</v>
      </c>
      <c r="M94" s="9" t="n">
        <v>8.003445538534306</v>
      </c>
      <c r="N94" s="10" t="inlineStr">
        <is>
          <t>exact</t>
        </is>
      </c>
    </row>
    <row r="95">
      <c r="A95" s="10" t="inlineStr">
        <is>
          <t>200-999</t>
        </is>
      </c>
      <c r="B95" s="8" t="n">
        <v>224032</v>
      </c>
      <c r="C95" s="10" t="inlineStr">
        <is>
          <t>RW-260819-085031</t>
        </is>
      </c>
      <c r="D95" s="10" t="inlineStr">
        <is>
          <t>BCI Knoxville Division</t>
        </is>
      </c>
      <c r="E95" s="10" t="inlineStr">
        <is>
          <t>Part 11378-11379-11380</t>
        </is>
      </c>
      <c r="F95" s="10" t="inlineStr">
        <is>
          <t>D/C Non-Joined — Part 11380 (03-010148-0)</t>
        </is>
      </c>
      <c r="G95" s="8" t="n">
        <v>300</v>
      </c>
      <c r="H95" s="10" t="inlineStr">
        <is>
          <t>Part #11380</t>
        </is>
      </c>
      <c r="I95" s="8" t="n">
        <v>300</v>
      </c>
      <c r="J95" s="10" t="inlineStr">
        <is>
          <t>Satin</t>
        </is>
      </c>
      <c r="K95" s="11" t="n">
        <v>983.29</v>
      </c>
      <c r="L95" s="11" t="n">
        <v>795.99</v>
      </c>
      <c r="M95" s="9" t="n">
        <v>23.53044636239148</v>
      </c>
      <c r="N95" s="10" t="inlineStr">
        <is>
          <t>exact</t>
        </is>
      </c>
    </row>
    <row r="96">
      <c r="A96" s="10" t="inlineStr">
        <is>
          <t>200-999</t>
        </is>
      </c>
      <c r="B96" s="8" t="n">
        <v>224032</v>
      </c>
      <c r="C96" s="10" t="inlineStr">
        <is>
          <t>RW-260819-085031</t>
        </is>
      </c>
      <c r="D96" s="10" t="inlineStr">
        <is>
          <t>BCI Knoxville Division</t>
        </is>
      </c>
      <c r="E96" s="10" t="inlineStr">
        <is>
          <t>Part 11378-11379-11380</t>
        </is>
      </c>
      <c r="F96" s="10" t="inlineStr">
        <is>
          <t>D/C Non-Joined — Part 11380 (03-010148-0)</t>
        </is>
      </c>
      <c r="G96" s="8" t="n">
        <v>500</v>
      </c>
      <c r="H96" s="10" t="inlineStr">
        <is>
          <t>Part #11380</t>
        </is>
      </c>
      <c r="I96" s="8" t="n">
        <v>500</v>
      </c>
      <c r="J96" s="10" t="inlineStr">
        <is>
          <t>Satin</t>
        </is>
      </c>
      <c r="K96" s="11" t="n">
        <v>1395.49</v>
      </c>
      <c r="L96" s="11" t="n">
        <v>1138.51</v>
      </c>
      <c r="M96" s="9" t="n">
        <v>22.57160674917217</v>
      </c>
      <c r="N96" s="10" t="inlineStr">
        <is>
          <t>exact</t>
        </is>
      </c>
    </row>
    <row r="97">
      <c r="A97" s="10" t="inlineStr">
        <is>
          <t>200-999</t>
        </is>
      </c>
      <c r="B97" s="8" t="n">
        <v>224437</v>
      </c>
      <c r="C97" s="10" t="inlineStr">
        <is>
          <t>RW-260826-105021</t>
        </is>
      </c>
      <c r="D97" s="10" t="inlineStr">
        <is>
          <t>BCI Tennessee Division</t>
        </is>
      </c>
      <c r="E97" s="10" t="inlineStr">
        <is>
          <t>Dalen Mesh Fence Carton Press Sheets - Part#11636; File #157587</t>
        </is>
      </c>
      <c r="F97" s="10" t="inlineStr">
        <is>
          <t>Press Sheet</t>
        </is>
      </c>
      <c r="G97" s="8" t="n">
        <v>300</v>
      </c>
      <c r="H97" s="10" t="inlineStr">
        <is>
          <t>03-010447-0</t>
        </is>
      </c>
      <c r="I97" s="8" t="n">
        <v>300</v>
      </c>
      <c r="J97" s="10" t="inlineStr">
        <is>
          <t>Satin</t>
        </is>
      </c>
      <c r="K97" s="11" t="n">
        <v>4194.73</v>
      </c>
      <c r="L97" s="11" t="n">
        <v>3614.6</v>
      </c>
      <c r="M97" s="9" t="n">
        <v>16.04963204780611</v>
      </c>
      <c r="N97" s="10" t="inlineStr">
        <is>
          <t>exact</t>
        </is>
      </c>
    </row>
    <row r="98">
      <c r="A98" s="10" t="inlineStr">
        <is>
          <t>200-999</t>
        </is>
      </c>
      <c r="B98" s="8" t="n">
        <v>224437</v>
      </c>
      <c r="C98" s="10" t="inlineStr">
        <is>
          <t>RW-260826-105021</t>
        </is>
      </c>
      <c r="D98" s="10" t="inlineStr">
        <is>
          <t>BCI Tennessee Division</t>
        </is>
      </c>
      <c r="E98" s="10" t="inlineStr">
        <is>
          <t>Dalen Mesh Fence Carton Press Sheets - Part#11636; File #157587</t>
        </is>
      </c>
      <c r="F98" s="10" t="inlineStr">
        <is>
          <t>Press Sheet</t>
        </is>
      </c>
      <c r="G98" s="8" t="n">
        <v>450</v>
      </c>
      <c r="H98" s="10" t="inlineStr">
        <is>
          <t>03-010447-0</t>
        </is>
      </c>
      <c r="I98" s="8" t="n">
        <v>450</v>
      </c>
      <c r="J98" s="10" t="inlineStr">
        <is>
          <t>Satin</t>
        </is>
      </c>
      <c r="K98" s="11" t="n">
        <v>5884.24</v>
      </c>
      <c r="L98" s="11" t="n">
        <v>5164.31</v>
      </c>
      <c r="M98" s="9" t="n">
        <v>13.94048769341886</v>
      </c>
      <c r="N98" s="10" t="inlineStr">
        <is>
          <t>exact</t>
        </is>
      </c>
    </row>
    <row r="99">
      <c r="A99" s="10" t="inlineStr">
        <is>
          <t>200-999</t>
        </is>
      </c>
      <c r="B99" s="8" t="n">
        <v>223408</v>
      </c>
      <c r="C99" s="10" t="inlineStr">
        <is>
          <t>RW-260629-131349</t>
        </is>
      </c>
      <c r="D99" s="10" t="inlineStr">
        <is>
          <t>L&amp;M Corrugated Container Corporation</t>
        </is>
      </c>
      <c r="E99" s="10" t="inlineStr">
        <is>
          <t>Project ID#128013</t>
        </is>
      </c>
      <c r="F99" s="10" t="inlineStr">
        <is>
          <t>6 x 4 x 3 Mailer - Double Sided</t>
        </is>
      </c>
      <c r="G99" s="8" t="n">
        <v>525</v>
      </c>
      <c r="H99" s="10" t="inlineStr">
        <is>
          <t>Mailer</t>
        </is>
      </c>
      <c r="I99" s="8" t="n">
        <v>525</v>
      </c>
      <c r="J99" s="10" t="inlineStr">
        <is>
          <t>Satin</t>
        </is>
      </c>
      <c r="K99" s="11" t="n">
        <v>2634.69</v>
      </c>
      <c r="L99" s="11" t="n">
        <v>2452.48</v>
      </c>
      <c r="M99" s="9" t="n">
        <v>7.429622259916494</v>
      </c>
      <c r="N99" s="10" t="inlineStr">
        <is>
          <t>qty-unique</t>
        </is>
      </c>
    </row>
    <row r="100">
      <c r="A100" s="10" t="inlineStr">
        <is>
          <t>200-999</t>
        </is>
      </c>
      <c r="B100" s="8" t="n">
        <v>224305</v>
      </c>
      <c r="C100" s="10" t="inlineStr">
        <is>
          <t>CD-260820-144644</t>
        </is>
      </c>
      <c r="D100" s="10" t="inlineStr">
        <is>
          <t>Massillon Container</t>
        </is>
      </c>
      <c r="E100" s="10" t="inlineStr">
        <is>
          <t>Drain CTN</t>
        </is>
      </c>
      <c r="F100" s="10" t="inlineStr">
        <is>
          <t>Die Cut Mailer</t>
        </is>
      </c>
      <c r="G100" s="8" t="n">
        <v>500</v>
      </c>
      <c r="H100" s="10" t="inlineStr">
        <is>
          <t>Carton</t>
        </is>
      </c>
      <c r="I100" s="8" t="n">
        <v>500</v>
      </c>
      <c r="J100" s="10" t="inlineStr">
        <is>
          <t>Satin</t>
        </is>
      </c>
      <c r="K100" s="11" t="n">
        <v>794.7</v>
      </c>
      <c r="L100" s="11" t="n">
        <v>624</v>
      </c>
      <c r="M100" s="9" t="n">
        <v>27.35576923076924</v>
      </c>
      <c r="N100" s="10" t="inlineStr">
        <is>
          <t>qty-unique</t>
        </is>
      </c>
    </row>
    <row r="101">
      <c r="A101" s="10" t="inlineStr">
        <is>
          <t>200-999</t>
        </is>
      </c>
      <c r="B101" s="8" t="n">
        <v>222466</v>
      </c>
      <c r="C101" s="10" t="inlineStr">
        <is>
          <t>RW-260805-111442</t>
        </is>
      </c>
      <c r="D101" s="10" t="inlineStr">
        <is>
          <t>McElroy Contract Packaging, Inc.</t>
        </is>
      </c>
      <c r="E101" s="10" t="inlineStr">
        <is>
          <t>Consolidated Solutions</t>
        </is>
      </c>
      <c r="F101" s="10" t="inlineStr">
        <is>
          <t>Med Digital Sleeve</t>
        </is>
      </c>
      <c r="G101" s="8" t="n">
        <v>559</v>
      </c>
      <c r="H101" s="10" t="inlineStr">
        <is>
          <t>Medium Sleeve</t>
        </is>
      </c>
      <c r="I101" s="8" t="n">
        <v>559</v>
      </c>
      <c r="J101" s="10" t="inlineStr">
        <is>
          <t>Satin</t>
        </is>
      </c>
      <c r="K101" s="11" t="n">
        <v>2831.22</v>
      </c>
      <c r="L101" s="11" t="n">
        <v>1953.92</v>
      </c>
      <c r="M101" s="9" t="n">
        <v>44.89948411398623</v>
      </c>
      <c r="N101" s="10" t="inlineStr">
        <is>
          <t>qty-unique</t>
        </is>
      </c>
    </row>
    <row r="102">
      <c r="A102" s="10" t="inlineStr">
        <is>
          <t>200-999</t>
        </is>
      </c>
      <c r="B102" s="8" t="n">
        <v>222466</v>
      </c>
      <c r="C102" s="10" t="inlineStr">
        <is>
          <t>RW-260805-111442</t>
        </is>
      </c>
      <c r="D102" s="10" t="inlineStr">
        <is>
          <t>McElroy Contract Packaging, Inc.</t>
        </is>
      </c>
      <c r="E102" s="10" t="inlineStr">
        <is>
          <t>Consolidated Solutions</t>
        </is>
      </c>
      <c r="F102" s="10" t="inlineStr">
        <is>
          <t>Med Digital Sleeve</t>
        </is>
      </c>
      <c r="G102" s="8" t="n">
        <v>643</v>
      </c>
      <c r="H102" s="10" t="inlineStr">
        <is>
          <t>Medium Sleeve</t>
        </is>
      </c>
      <c r="I102" s="8" t="n">
        <v>643</v>
      </c>
      <c r="J102" s="10" t="inlineStr">
        <is>
          <t>Satin</t>
        </is>
      </c>
      <c r="K102" s="11" t="n">
        <v>3232.4</v>
      </c>
      <c r="L102" s="11" t="n">
        <v>2166.35</v>
      </c>
      <c r="M102" s="9" t="n">
        <v>49.20949984997808</v>
      </c>
      <c r="N102" s="10" t="inlineStr">
        <is>
          <t>qty-unique</t>
        </is>
      </c>
    </row>
    <row r="103">
      <c r="A103" s="10" t="inlineStr">
        <is>
          <t>200-999</t>
        </is>
      </c>
      <c r="B103" s="8" t="n">
        <v>222478</v>
      </c>
      <c r="C103" s="10" t="inlineStr">
        <is>
          <t>RW-260805-132313</t>
        </is>
      </c>
      <c r="D103" s="10" t="inlineStr">
        <is>
          <t>McElroy Contract Packaging, Inc.</t>
        </is>
      </c>
      <c r="E103" s="10" t="inlineStr">
        <is>
          <t>XL Sleeve</t>
        </is>
      </c>
      <c r="F103" s="10" t="inlineStr">
        <is>
          <t>XL Sleeve</t>
        </is>
      </c>
      <c r="G103" s="8" t="n">
        <v>470</v>
      </c>
      <c r="H103" s="10" t="inlineStr">
        <is>
          <t>XL Sleeve</t>
        </is>
      </c>
      <c r="I103" s="8" t="n">
        <v>470</v>
      </c>
      <c r="J103" s="10" t="inlineStr">
        <is>
          <t>Satin</t>
        </is>
      </c>
      <c r="K103" s="11" t="n">
        <v>3171.33</v>
      </c>
      <c r="L103" s="11" t="n">
        <v>2526.17</v>
      </c>
      <c r="M103" s="9" t="n">
        <v>25.53905714975635</v>
      </c>
      <c r="N103" s="10" t="inlineStr">
        <is>
          <t>qty-unique</t>
        </is>
      </c>
    </row>
    <row r="104">
      <c r="A104" s="10" t="inlineStr">
        <is>
          <t>200-999</t>
        </is>
      </c>
      <c r="B104" s="8" t="n">
        <v>222478</v>
      </c>
      <c r="C104" s="10" t="inlineStr">
        <is>
          <t>RW-260805-132313</t>
        </is>
      </c>
      <c r="D104" s="10" t="inlineStr">
        <is>
          <t>McElroy Contract Packaging, Inc.</t>
        </is>
      </c>
      <c r="E104" s="10" t="inlineStr">
        <is>
          <t>XL Sleeve</t>
        </is>
      </c>
      <c r="F104" s="10" t="inlineStr">
        <is>
          <t>XL Sleeve</t>
        </is>
      </c>
      <c r="G104" s="8" t="n">
        <v>617</v>
      </c>
      <c r="H104" s="10" t="inlineStr">
        <is>
          <t>XL Sleeve</t>
        </is>
      </c>
      <c r="I104" s="8" t="n">
        <v>617</v>
      </c>
      <c r="J104" s="10" t="inlineStr">
        <is>
          <t>Satin</t>
        </is>
      </c>
      <c r="K104" s="11" t="n">
        <v>3353.41</v>
      </c>
      <c r="L104" s="11" t="n">
        <v>3211.96</v>
      </c>
      <c r="M104" s="9" t="n">
        <v>4.403853099042323</v>
      </c>
      <c r="N104" s="10" t="inlineStr">
        <is>
          <t>qty-unique</t>
        </is>
      </c>
    </row>
    <row r="105">
      <c r="A105" s="10" t="inlineStr">
        <is>
          <t>200-999</t>
        </is>
      </c>
      <c r="B105" s="8" t="n">
        <v>222479</v>
      </c>
      <c r="C105" s="10" t="inlineStr">
        <is>
          <t>RW-260805-115250</t>
        </is>
      </c>
      <c r="D105" s="10" t="inlineStr">
        <is>
          <t>McElroy Contract Packaging, Inc.</t>
        </is>
      </c>
      <c r="E105" s="10" t="inlineStr">
        <is>
          <t>XXL SLEEVE</t>
        </is>
      </c>
      <c r="F105" s="10" t="inlineStr">
        <is>
          <t>XXL Sleeve</t>
        </is>
      </c>
      <c r="G105" s="8" t="n">
        <v>215</v>
      </c>
      <c r="H105" s="10" t="inlineStr">
        <is>
          <t xml:space="preserve">XXL Sleeve </t>
        </is>
      </c>
      <c r="I105" s="8" t="n">
        <v>215</v>
      </c>
      <c r="J105" s="10" t="inlineStr">
        <is>
          <t>Satin</t>
        </is>
      </c>
      <c r="K105" s="11" t="n">
        <v>1754.94</v>
      </c>
      <c r="L105" s="11" t="n">
        <v>1371.86</v>
      </c>
      <c r="M105" s="9" t="n">
        <v>27.92413220007874</v>
      </c>
      <c r="N105" s="10" t="inlineStr">
        <is>
          <t>qty-unique</t>
        </is>
      </c>
    </row>
    <row r="106">
      <c r="A106" s="10" t="inlineStr">
        <is>
          <t>200-999</t>
        </is>
      </c>
      <c r="B106" s="8" t="n">
        <v>222479</v>
      </c>
      <c r="C106" s="10" t="inlineStr">
        <is>
          <t>RW-260805-115250</t>
        </is>
      </c>
      <c r="D106" s="10" t="inlineStr">
        <is>
          <t>McElroy Contract Packaging, Inc.</t>
        </is>
      </c>
      <c r="E106" s="10" t="inlineStr">
        <is>
          <t>XXL SLEEVE</t>
        </is>
      </c>
      <c r="F106" s="10" t="inlineStr">
        <is>
          <t>XXL Sleeve</t>
        </is>
      </c>
      <c r="G106" s="8" t="n">
        <v>245</v>
      </c>
      <c r="H106" s="10" t="inlineStr">
        <is>
          <t xml:space="preserve">XXL Sleeve </t>
        </is>
      </c>
      <c r="I106" s="8" t="n">
        <v>245</v>
      </c>
      <c r="J106" s="10" t="inlineStr">
        <is>
          <t>Satin</t>
        </is>
      </c>
      <c r="K106" s="11" t="n">
        <v>1952.15</v>
      </c>
      <c r="L106" s="11" t="n">
        <v>1514.44</v>
      </c>
      <c r="M106" s="9" t="n">
        <v>28.90243258234067</v>
      </c>
      <c r="N106" s="10" t="inlineStr">
        <is>
          <t>qty-unique</t>
        </is>
      </c>
    </row>
    <row r="107">
      <c r="A107" s="10" t="inlineStr">
        <is>
          <t>200-999</t>
        </is>
      </c>
      <c r="B107" s="8" t="n">
        <v>222479</v>
      </c>
      <c r="C107" s="10" t="inlineStr">
        <is>
          <t>RW-260805-115250</t>
        </is>
      </c>
      <c r="D107" s="10" t="inlineStr">
        <is>
          <t>McElroy Contract Packaging, Inc.</t>
        </is>
      </c>
      <c r="E107" s="10" t="inlineStr">
        <is>
          <t>XXL SLEEVE</t>
        </is>
      </c>
      <c r="F107" s="10" t="inlineStr">
        <is>
          <t>XXL Sleeve</t>
        </is>
      </c>
      <c r="G107" s="8" t="n">
        <v>536</v>
      </c>
      <c r="H107" s="10" t="inlineStr">
        <is>
          <t xml:space="preserve">XXL Sleeve </t>
        </is>
      </c>
      <c r="I107" s="8" t="n">
        <v>536</v>
      </c>
      <c r="J107" s="10" t="inlineStr">
        <is>
          <t>Satin</t>
        </is>
      </c>
      <c r="K107" s="11" t="n">
        <v>3417.51</v>
      </c>
      <c r="L107" s="11" t="n">
        <v>2912.31</v>
      </c>
      <c r="M107" s="9" t="n">
        <v>17.34705440011538</v>
      </c>
      <c r="N107" s="10" t="inlineStr">
        <is>
          <t>qty-unique</t>
        </is>
      </c>
    </row>
    <row r="108">
      <c r="A108" s="10" t="inlineStr">
        <is>
          <t>200-999</t>
        </is>
      </c>
      <c r="B108" s="8" t="n">
        <v>222479</v>
      </c>
      <c r="C108" s="10" t="inlineStr">
        <is>
          <t>RW-260805-115250</t>
        </is>
      </c>
      <c r="D108" s="10" t="inlineStr">
        <is>
          <t>McElroy Contract Packaging, Inc.</t>
        </is>
      </c>
      <c r="E108" s="10" t="inlineStr">
        <is>
          <t>XXL SLEEVE</t>
        </is>
      </c>
      <c r="F108" s="10" t="inlineStr">
        <is>
          <t>XXL Sleeve</t>
        </is>
      </c>
      <c r="G108" s="8" t="n">
        <v>735</v>
      </c>
      <c r="H108" s="10" t="inlineStr">
        <is>
          <t xml:space="preserve">XXL Sleeve </t>
        </is>
      </c>
      <c r="I108" s="8" t="n">
        <v>735</v>
      </c>
      <c r="J108" s="10" t="inlineStr">
        <is>
          <t>Satin</t>
        </is>
      </c>
      <c r="K108" s="11" t="n">
        <v>3798.33</v>
      </c>
      <c r="L108" s="11" t="n">
        <v>3843.31</v>
      </c>
      <c r="M108" s="9" t="n">
        <v>-1.17034535335427</v>
      </c>
      <c r="N108" s="10" t="inlineStr">
        <is>
          <t>qty-unique</t>
        </is>
      </c>
    </row>
    <row r="109">
      <c r="A109" s="10" t="inlineStr">
        <is>
          <t>200-999</t>
        </is>
      </c>
      <c r="B109" s="8" t="n">
        <v>224377</v>
      </c>
      <c r="C109" s="10" t="inlineStr">
        <is>
          <t>CD-260825-091053</t>
        </is>
      </c>
      <c r="D109" s="10" t="inlineStr">
        <is>
          <t>Mondelez International</t>
        </is>
      </c>
      <c r="E109" s="10" t="inlineStr">
        <is>
          <t>44000 90245 2027 Oreo IMC Large DBL Kit — Digital Innovation Hutch Kit</t>
        </is>
      </c>
      <c r="F109" s="10" t="inlineStr">
        <is>
          <t>Cookie Lug On</t>
        </is>
      </c>
      <c r="G109" s="8" t="n">
        <v>400</v>
      </c>
      <c r="H109" s="10" t="inlineStr">
        <is>
          <t>Lug On</t>
        </is>
      </c>
      <c r="I109" s="8" t="n">
        <v>400</v>
      </c>
      <c r="J109" s="10" t="inlineStr">
        <is>
          <t>Satin</t>
        </is>
      </c>
      <c r="K109" s="11" t="n">
        <v>2137.14</v>
      </c>
      <c r="L109" s="11" t="n">
        <v>1981.43</v>
      </c>
      <c r="M109" s="9" t="n">
        <v>7.858465855468011</v>
      </c>
      <c r="N109" s="10" t="inlineStr">
        <is>
          <t>qty-tie+name(0.63)</t>
        </is>
      </c>
    </row>
    <row r="110">
      <c r="A110" s="10" t="inlineStr">
        <is>
          <t>200-999</t>
        </is>
      </c>
      <c r="B110" s="8" t="n">
        <v>224377</v>
      </c>
      <c r="C110" s="10" t="inlineStr">
        <is>
          <t>CD-260825-091053</t>
        </is>
      </c>
      <c r="D110" s="10" t="inlineStr">
        <is>
          <t>Mondelez International</t>
        </is>
      </c>
      <c r="E110" s="10" t="inlineStr">
        <is>
          <t>44000 90245 2027 Oreo IMC Large DBL Kit — Digital Innovation Hutch Kit</t>
        </is>
      </c>
      <c r="F110" s="10" t="inlineStr">
        <is>
          <t>Top Cap</t>
        </is>
      </c>
      <c r="G110" s="8" t="n">
        <v>400</v>
      </c>
      <c r="H110" s="10" t="inlineStr">
        <is>
          <t>Top Cap</t>
        </is>
      </c>
      <c r="I110" s="8" t="n">
        <v>400</v>
      </c>
      <c r="J110" s="10" t="inlineStr">
        <is>
          <t>Satin</t>
        </is>
      </c>
      <c r="K110" s="11" t="n">
        <v>9764.209999999999</v>
      </c>
      <c r="L110" s="11" t="n">
        <v>8213.639999999999</v>
      </c>
      <c r="M110" s="9" t="n">
        <v>18.8779883218646</v>
      </c>
      <c r="N110" s="10" t="inlineStr">
        <is>
          <t>qty-tie+name(1.00)</t>
        </is>
      </c>
    </row>
    <row r="111">
      <c r="A111" s="10" t="inlineStr">
        <is>
          <t>200-999</t>
        </is>
      </c>
      <c r="B111" s="8" t="n">
        <v>224362</v>
      </c>
      <c r="C111" s="10" t="inlineStr">
        <is>
          <t>CD-260821-152833</t>
        </is>
      </c>
      <c r="D111" s="10" t="inlineStr">
        <is>
          <t>PCA (Packaging Corporation of America)</t>
        </is>
      </c>
      <c r="E111" s="10" t="inlineStr">
        <is>
          <t>44000 90245 2027 Oreo IMC Large DBL Kit — Digital Innovation Add On kit</t>
        </is>
      </c>
      <c r="F111" s="10" t="inlineStr">
        <is>
          <t>Innovation Shipper</t>
        </is>
      </c>
      <c r="G111" s="8" t="n">
        <v>460</v>
      </c>
      <c r="H111" s="10" t="inlineStr">
        <is>
          <t>Shipper</t>
        </is>
      </c>
      <c r="I111" s="8" t="n">
        <v>400</v>
      </c>
      <c r="J111" s="10" t="inlineStr">
        <is>
          <t>Satin</t>
        </is>
      </c>
      <c r="K111" s="11" t="n">
        <v>12559.19</v>
      </c>
      <c r="L111" s="11" t="n">
        <v>9173.76</v>
      </c>
      <c r="M111" s="9" t="n">
        <v>36.90340710897168</v>
      </c>
      <c r="N111" s="10" t="inlineStr">
        <is>
          <t>qty±20+name(0.56)</t>
        </is>
      </c>
    </row>
    <row r="112">
      <c r="A112" s="10" t="inlineStr">
        <is>
          <t>200-999</t>
        </is>
      </c>
      <c r="B112" s="8" t="n">
        <v>224362</v>
      </c>
      <c r="C112" s="10" t="inlineStr">
        <is>
          <t>CD-260821-152833</t>
        </is>
      </c>
      <c r="D112" s="10" t="inlineStr">
        <is>
          <t>PCA (Packaging Corporation of America)</t>
        </is>
      </c>
      <c r="E112" s="10" t="inlineStr">
        <is>
          <t>44000 90245 2027 Oreo IMC Large DBL Kit — Digital Innovation Add On kit</t>
        </is>
      </c>
      <c r="F112" s="10" t="inlineStr">
        <is>
          <t>Innovation Front Panel</t>
        </is>
      </c>
      <c r="G112" s="8" t="n">
        <v>460</v>
      </c>
      <c r="H112" s="10" t="inlineStr">
        <is>
          <t>Front Panel</t>
        </is>
      </c>
      <c r="I112" s="8" t="n">
        <v>400</v>
      </c>
      <c r="J112" s="10" t="inlineStr">
        <is>
          <t>Gloss</t>
        </is>
      </c>
      <c r="K112" s="11" t="n">
        <v>2385.37</v>
      </c>
      <c r="L112" s="11" t="n">
        <v>1791.74</v>
      </c>
      <c r="M112" s="9" t="n">
        <v>33.13148113007467</v>
      </c>
      <c r="N112" s="10" t="inlineStr">
        <is>
          <t>qty±20+name(0.67)</t>
        </is>
      </c>
    </row>
    <row r="113">
      <c r="A113" s="10" t="inlineStr">
        <is>
          <t>200-999</t>
        </is>
      </c>
      <c r="B113" s="8" t="n">
        <v>224362</v>
      </c>
      <c r="C113" s="10" t="inlineStr">
        <is>
          <t>CD-260821-152833</t>
        </is>
      </c>
      <c r="D113" s="10" t="inlineStr">
        <is>
          <t>PCA (Packaging Corporation of America)</t>
        </is>
      </c>
      <c r="E113" s="10" t="inlineStr">
        <is>
          <t>44000 90245 2027 Oreo IMC Large DBL Kit — Digital Innovation Add On kit</t>
        </is>
      </c>
      <c r="F113" s="10" t="inlineStr">
        <is>
          <t>Innovation Header</t>
        </is>
      </c>
      <c r="G113" s="8" t="n">
        <v>460</v>
      </c>
      <c r="H113" s="10" t="n">
        <v/>
      </c>
      <c r="I113" s="8" t="n"/>
      <c r="J113" s="10" t="inlineStr">
        <is>
          <t>Gloss</t>
        </is>
      </c>
      <c r="K113" s="11" t="n">
        <v>6840.1</v>
      </c>
      <c r="L113" s="11" t="n"/>
      <c r="M113" s="9" t="n"/>
      <c r="N113" s="10" t="inlineStr">
        <is>
          <t>unmatched</t>
        </is>
      </c>
    </row>
    <row r="114">
      <c r="A114" s="10" t="inlineStr">
        <is>
          <t>200-999</t>
        </is>
      </c>
      <c r="B114" s="8" t="n">
        <v>224362</v>
      </c>
      <c r="C114" s="10" t="inlineStr">
        <is>
          <t>CD-260821-152833</t>
        </is>
      </c>
      <c r="D114" s="10" t="inlineStr">
        <is>
          <t>PCA (Packaging Corporation of America)</t>
        </is>
      </c>
      <c r="E114" s="10" t="inlineStr">
        <is>
          <t>44000 90245 2027 Oreo IMC Large DBL Kit — Digital Innovation Add On kit</t>
        </is>
      </c>
      <c r="F114" s="10" t="inlineStr">
        <is>
          <t>Cookie Lug On</t>
        </is>
      </c>
      <c r="G114" s="8" t="n">
        <v>460</v>
      </c>
      <c r="H114" s="10" t="inlineStr">
        <is>
          <t>Lug On</t>
        </is>
      </c>
      <c r="I114" s="8" t="n">
        <v>400</v>
      </c>
      <c r="J114" s="10" t="inlineStr">
        <is>
          <t>Gloss</t>
        </is>
      </c>
      <c r="K114" s="11" t="n">
        <v>2547.98</v>
      </c>
      <c r="L114" s="11" t="n">
        <v>2047.76</v>
      </c>
      <c r="M114" s="9" t="n">
        <v>24.42766730476228</v>
      </c>
      <c r="N114" s="10" t="inlineStr">
        <is>
          <t>qty±20+name(0.63)</t>
        </is>
      </c>
    </row>
    <row r="115">
      <c r="A115" s="10" t="inlineStr">
        <is>
          <t>200-999</t>
        </is>
      </c>
      <c r="B115" s="8" t="n">
        <v>224322</v>
      </c>
      <c r="C115" s="10" t="inlineStr">
        <is>
          <t>RW-260821-104005</t>
        </is>
      </c>
      <c r="D115" s="10" t="inlineStr">
        <is>
          <t>PCA - Ashland</t>
        </is>
      </c>
      <c r="E115" s="10" t="inlineStr">
        <is>
          <t>1736 Meijer TEMP C and T Holiday FP</t>
        </is>
      </c>
      <c r="F115" s="10" t="inlineStr">
        <is>
          <t>Header — D 26-0365</t>
        </is>
      </c>
      <c r="G115" s="8" t="n">
        <v>600</v>
      </c>
      <c r="H115" s="10" t="inlineStr">
        <is>
          <t>Side Panel</t>
        </is>
      </c>
      <c r="I115" s="8" t="n">
        <v>600</v>
      </c>
      <c r="J115" s="10" t="inlineStr">
        <is>
          <t>Gloss</t>
        </is>
      </c>
      <c r="K115" s="11" t="n">
        <v>3793.04</v>
      </c>
      <c r="L115" s="11" t="n">
        <v>7148.75</v>
      </c>
      <c r="M115" s="9" t="n">
        <v>-46.94121349886344</v>
      </c>
      <c r="N115" s="10" t="inlineStr">
        <is>
          <t>exact</t>
        </is>
      </c>
    </row>
    <row r="116">
      <c r="A116" s="10" t="inlineStr">
        <is>
          <t>200-999</t>
        </is>
      </c>
      <c r="B116" s="8" t="n">
        <v>224322</v>
      </c>
      <c r="C116" s="10" t="inlineStr">
        <is>
          <t>RW-260821-104005</t>
        </is>
      </c>
      <c r="D116" s="10" t="inlineStr">
        <is>
          <t>PCA - Ashland</t>
        </is>
      </c>
      <c r="E116" s="10" t="inlineStr">
        <is>
          <t>1736 Meijer TEMP C and T Holiday FP</t>
        </is>
      </c>
      <c r="F116" s="10" t="inlineStr">
        <is>
          <t>Side Panel — D 26-0366</t>
        </is>
      </c>
      <c r="G116" s="8" t="n">
        <v>600</v>
      </c>
      <c r="H116" s="10" t="n">
        <v/>
      </c>
      <c r="I116" s="8" t="n"/>
      <c r="J116" s="10" t="inlineStr">
        <is>
          <t>Satin</t>
        </is>
      </c>
      <c r="K116" s="11" t="n">
        <v>7775.16</v>
      </c>
      <c r="L116" s="11" t="n"/>
      <c r="M116" s="9" t="n"/>
      <c r="N116" s="10" t="inlineStr">
        <is>
          <t>unmatched</t>
        </is>
      </c>
    </row>
    <row r="117">
      <c r="A117" s="10" t="inlineStr">
        <is>
          <t>200-999</t>
        </is>
      </c>
      <c r="B117" s="8" t="n">
        <v>223538</v>
      </c>
      <c r="C117" s="10" t="inlineStr">
        <is>
          <t>RW-260727-093930</t>
        </is>
      </c>
      <c r="D117" s="10" t="inlineStr">
        <is>
          <t>PCA - New Oxford</t>
        </is>
      </c>
      <c r="E117" s="10" t="inlineStr">
        <is>
          <t>Natures Bounty Tray &amp; Graphic Block - J58302</t>
        </is>
      </c>
      <c r="F117" s="10" t="inlineStr">
        <is>
          <t>Graphic Block</t>
        </is>
      </c>
      <c r="G117" s="8" t="n">
        <v>350</v>
      </c>
      <c r="H117" s="10" t="inlineStr">
        <is>
          <t>J56132-01 Graphic Block</t>
        </is>
      </c>
      <c r="I117" s="8" t="n">
        <v>350</v>
      </c>
      <c r="J117" s="10" t="inlineStr">
        <is>
          <t>Satin</t>
        </is>
      </c>
      <c r="K117" s="11" t="n">
        <v>2611.59</v>
      </c>
      <c r="L117" s="11" t="n">
        <v>2120.92</v>
      </c>
      <c r="M117" s="9" t="n">
        <v>23.13477170284594</v>
      </c>
      <c r="N117" s="10" t="inlineStr">
        <is>
          <t>qty-unique</t>
        </is>
      </c>
    </row>
    <row r="118">
      <c r="A118" s="10" t="inlineStr">
        <is>
          <t>200-999</t>
        </is>
      </c>
      <c r="B118" s="8" t="n">
        <v>223860</v>
      </c>
      <c r="C118" s="10" t="inlineStr">
        <is>
          <t>RW-260731-115427</t>
        </is>
      </c>
      <c r="D118" s="10" t="inlineStr">
        <is>
          <t>PCA - New Oxford</t>
        </is>
      </c>
      <c r="E118" s="10" t="inlineStr">
        <is>
          <t>J63240 - Sam's Club Filtration Pallet Display</t>
        </is>
      </c>
      <c r="F118" s="10" t="inlineStr">
        <is>
          <t>IBM (Display Body)</t>
        </is>
      </c>
      <c r="G118" s="8" t="n">
        <v>270</v>
      </c>
      <c r="H118" s="10" t="n">
        <v/>
      </c>
      <c r="I118" s="8" t="n"/>
      <c r="J118" s="10" t="inlineStr">
        <is>
          <t>Gloss</t>
        </is>
      </c>
      <c r="K118" s="11" t="n">
        <v>5265.01</v>
      </c>
      <c r="L118" s="11" t="n"/>
      <c r="M118" s="9" t="n"/>
      <c r="N118" s="10" t="inlineStr">
        <is>
          <t>unmatched</t>
        </is>
      </c>
    </row>
    <row r="119">
      <c r="A119" s="10" t="inlineStr">
        <is>
          <t>200-999</t>
        </is>
      </c>
      <c r="B119" s="8" t="n">
        <v>223860</v>
      </c>
      <c r="C119" s="10" t="inlineStr">
        <is>
          <t>RW-260731-115427</t>
        </is>
      </c>
      <c r="D119" s="10" t="inlineStr">
        <is>
          <t>PCA - New Oxford</t>
        </is>
      </c>
      <c r="E119" s="10" t="inlineStr">
        <is>
          <t>J63240 - Sam's Club Filtration Pallet Display</t>
        </is>
      </c>
      <c r="F119" s="10" t="inlineStr">
        <is>
          <t>Layer Tray</t>
        </is>
      </c>
      <c r="G119" s="8" t="n">
        <v>270</v>
      </c>
      <c r="H119" s="10" t="n">
        <v/>
      </c>
      <c r="I119" s="8" t="n"/>
      <c r="J119" s="10" t="inlineStr">
        <is>
          <t>Gloss</t>
        </is>
      </c>
      <c r="K119" s="11" t="n">
        <v>1642.25</v>
      </c>
      <c r="L119" s="11" t="n"/>
      <c r="M119" s="9" t="n"/>
      <c r="N119" s="10" t="inlineStr">
        <is>
          <t>unmatched</t>
        </is>
      </c>
    </row>
    <row r="120">
      <c r="A120" s="10" t="inlineStr">
        <is>
          <t>200-999</t>
        </is>
      </c>
      <c r="B120" s="8" t="n">
        <v>222327</v>
      </c>
      <c r="C120" s="10" t="inlineStr">
        <is>
          <t>RW-260805-110335</t>
        </is>
      </c>
      <c r="D120" s="10" t="inlineStr">
        <is>
          <t>PCA / Fairfield, OH</t>
        </is>
      </c>
      <c r="E120" s="10" t="inlineStr">
        <is>
          <t>All  Spice Merchants - 60 Sec Pickle Display</t>
        </is>
      </c>
      <c r="F120" s="10" t="inlineStr">
        <is>
          <t>Display Base</t>
        </is>
      </c>
      <c r="G120" s="8" t="n">
        <v>200</v>
      </c>
      <c r="H120" s="10" t="inlineStr">
        <is>
          <t>Display Base</t>
        </is>
      </c>
      <c r="I120" s="8" t="n">
        <v>200</v>
      </c>
      <c r="J120" s="10" t="inlineStr">
        <is>
          <t>Gloss</t>
        </is>
      </c>
      <c r="K120" s="11" t="n">
        <v>1274.36</v>
      </c>
      <c r="L120" s="11" t="n">
        <v>865.11</v>
      </c>
      <c r="M120" s="9" t="n">
        <v>47.30612292078462</v>
      </c>
      <c r="N120" s="10" t="inlineStr">
        <is>
          <t>qty-unique</t>
        </is>
      </c>
    </row>
    <row r="121">
      <c r="A121" s="10" t="inlineStr">
        <is>
          <t>200-999</t>
        </is>
      </c>
      <c r="B121" s="8" t="n">
        <v>222327</v>
      </c>
      <c r="C121" s="10" t="inlineStr">
        <is>
          <t>RW-260805-110335</t>
        </is>
      </c>
      <c r="D121" s="10" t="inlineStr">
        <is>
          <t>PCA / Fairfield, OH</t>
        </is>
      </c>
      <c r="E121" s="10" t="inlineStr">
        <is>
          <t>All  Spice Merchants - 60 Sec Pickle Display</t>
        </is>
      </c>
      <c r="F121" s="10" t="inlineStr">
        <is>
          <t>Display Base</t>
        </is>
      </c>
      <c r="G121" s="8" t="n">
        <v>300</v>
      </c>
      <c r="H121" s="10" t="inlineStr">
        <is>
          <t>Display Base</t>
        </is>
      </c>
      <c r="I121" s="8" t="n">
        <v>300</v>
      </c>
      <c r="J121" s="10" t="inlineStr">
        <is>
          <t>Gloss</t>
        </is>
      </c>
      <c r="K121" s="11" t="n">
        <v>1317.07</v>
      </c>
      <c r="L121" s="11" t="n">
        <v>1087.68</v>
      </c>
      <c r="M121" s="9" t="n">
        <v>21.08984260076492</v>
      </c>
      <c r="N121" s="10" t="inlineStr">
        <is>
          <t>qty-unique</t>
        </is>
      </c>
    </row>
    <row r="122">
      <c r="A122" s="10" t="inlineStr">
        <is>
          <t>200-999</t>
        </is>
      </c>
      <c r="B122" s="8" t="n">
        <v>223957</v>
      </c>
      <c r="C122" s="10" t="inlineStr">
        <is>
          <t>RW-260820-091152</t>
        </is>
      </c>
      <c r="D122" s="10" t="inlineStr">
        <is>
          <t>PCA Cheswick</t>
        </is>
      </c>
      <c r="E122" s="10" t="inlineStr">
        <is>
          <t>C11 26 MNY WM Cryo Primer &amp; Spray Sidekick 130799</t>
        </is>
      </c>
      <c r="F122" s="10" t="inlineStr">
        <is>
          <t>Riser</t>
        </is>
      </c>
      <c r="G122" s="8" t="n">
        <v>480</v>
      </c>
      <c r="H122" s="10" t="n">
        <v/>
      </c>
      <c r="I122" s="8" t="n"/>
      <c r="J122" s="10" t="inlineStr">
        <is>
          <t>Gloss</t>
        </is>
      </c>
      <c r="K122" s="11" t="n">
        <v>1457.84</v>
      </c>
      <c r="L122" s="11" t="n"/>
      <c r="M122" s="9" t="n"/>
      <c r="N122" s="10" t="inlineStr">
        <is>
          <t>unmatched</t>
        </is>
      </c>
    </row>
    <row r="123">
      <c r="A123" s="10" t="inlineStr">
        <is>
          <t>200-999</t>
        </is>
      </c>
      <c r="B123" s="8" t="n">
        <v>222180</v>
      </c>
      <c r="C123" s="10" t="inlineStr">
        <is>
          <t>RW-260804-170132</t>
        </is>
      </c>
      <c r="D123" s="10" t="inlineStr">
        <is>
          <t>PCA Pennsylvania Acquisition Corporation</t>
        </is>
      </c>
      <c r="E123" s="10" t="inlineStr">
        <is>
          <t>Basic Resources - Reebok Kids Underwear</t>
        </is>
      </c>
      <c r="F123" s="10" t="inlineStr">
        <is>
          <t>Header — digitally printed &amp; plotter cut</t>
        </is>
      </c>
      <c r="G123" s="8" t="n">
        <v>530</v>
      </c>
      <c r="H123" s="10" t="inlineStr">
        <is>
          <t>Graphic End Cap</t>
        </is>
      </c>
      <c r="I123" s="8" t="n">
        <v>530</v>
      </c>
      <c r="J123" s="10" t="inlineStr">
        <is>
          <t>Satin</t>
        </is>
      </c>
      <c r="K123" s="11" t="n">
        <v>1688.62</v>
      </c>
      <c r="L123" s="11" t="n">
        <v>6062.85</v>
      </c>
      <c r="M123" s="9" t="n">
        <v>-72.14808217257561</v>
      </c>
      <c r="N123" s="10" t="inlineStr">
        <is>
          <t>qty-unique</t>
        </is>
      </c>
    </row>
    <row r="124">
      <c r="A124" s="10" t="inlineStr">
        <is>
          <t>200-999</t>
        </is>
      </c>
      <c r="B124" s="8" t="n">
        <v>222180</v>
      </c>
      <c r="C124" s="10" t="inlineStr">
        <is>
          <t>RW-260804-170132</t>
        </is>
      </c>
      <c r="D124" s="10" t="inlineStr">
        <is>
          <t>PCA Pennsylvania Acquisition Corporation</t>
        </is>
      </c>
      <c r="E124" s="10" t="inlineStr">
        <is>
          <t>Basic Resources - Reebok Kids Underwear</t>
        </is>
      </c>
      <c r="F124" s="10" t="inlineStr">
        <is>
          <t>Graphic End Cap — digitally printed &amp; cut</t>
        </is>
      </c>
      <c r="G124" s="8" t="n">
        <v>530</v>
      </c>
      <c r="H124" s="10" t="n">
        <v/>
      </c>
      <c r="I124" s="8" t="n"/>
      <c r="J124" s="10" t="inlineStr">
        <is>
          <t>Satin</t>
        </is>
      </c>
      <c r="K124" s="11" t="n">
        <v>7068.01</v>
      </c>
      <c r="L124" s="11" t="n"/>
      <c r="M124" s="9" t="n"/>
      <c r="N124" s="10" t="inlineStr">
        <is>
          <t>unmatched</t>
        </is>
      </c>
    </row>
    <row r="125">
      <c r="A125" s="10" t="inlineStr">
        <is>
          <t>200-999</t>
        </is>
      </c>
      <c r="B125" s="8" t="n">
        <v>223882</v>
      </c>
      <c r="C125" s="10" t="inlineStr">
        <is>
          <t>RW-260730-155953</t>
        </is>
      </c>
      <c r="D125" s="10" t="inlineStr">
        <is>
          <t>PCA Pennsylvania Acquisition Corporation</t>
        </is>
      </c>
      <c r="E125" s="10" t="inlineStr">
        <is>
          <t>SpectroDolce - Fudge Tray Display</t>
        </is>
      </c>
      <c r="F125" s="10" t="inlineStr">
        <is>
          <t>Die Cut Tray</t>
        </is>
      </c>
      <c r="G125" s="8" t="n">
        <v>500</v>
      </c>
      <c r="H125" s="10" t="n">
        <v/>
      </c>
      <c r="I125" s="8" t="n"/>
      <c r="J125" s="10" t="inlineStr">
        <is>
          <t>Satin</t>
        </is>
      </c>
      <c r="K125" s="11" t="n">
        <v>2459.87</v>
      </c>
      <c r="L125" s="11" t="n"/>
      <c r="M125" s="9" t="n"/>
      <c r="N125" s="10" t="inlineStr">
        <is>
          <t>no-iq-rows</t>
        </is>
      </c>
    </row>
    <row r="126">
      <c r="A126" s="10" t="inlineStr">
        <is>
          <t>200-999</t>
        </is>
      </c>
      <c r="B126" s="8" t="n">
        <v>224464</v>
      </c>
      <c r="C126" s="10" t="inlineStr">
        <is>
          <t>FD-260827-073537</t>
        </is>
      </c>
      <c r="D126" s="10" t="inlineStr">
        <is>
          <t>PCA Pennsylvania Acquisition Corporation</t>
        </is>
      </c>
      <c r="E126" s="10" t="n">
        <v/>
      </c>
      <c r="F126" s="10" t="inlineStr">
        <is>
          <t>Item 3 - Riser</t>
        </is>
      </c>
      <c r="G126" s="8" t="n">
        <v>480</v>
      </c>
      <c r="H126" s="10" t="n">
        <v/>
      </c>
      <c r="I126" s="8" t="n"/>
      <c r="J126" s="10" t="inlineStr">
        <is>
          <t>Gloss</t>
        </is>
      </c>
      <c r="K126" s="11" t="n">
        <v>1675.73</v>
      </c>
      <c r="L126" s="11" t="n"/>
      <c r="M126" s="9" t="n"/>
      <c r="N126" s="10" t="inlineStr">
        <is>
          <t>unmatched</t>
        </is>
      </c>
    </row>
    <row r="127">
      <c r="A127" s="10" t="inlineStr">
        <is>
          <t>200-999</t>
        </is>
      </c>
      <c r="B127" s="8" t="n">
        <v>222557</v>
      </c>
      <c r="C127" s="10" t="inlineStr">
        <is>
          <t>RW-260806-111429</t>
        </is>
      </c>
      <c r="D127" s="10" t="inlineStr">
        <is>
          <t>Pax Corrugated - an affiliate of Welch Packaging</t>
        </is>
      </c>
      <c r="E127" s="10" t="inlineStr">
        <is>
          <t>Kroger Corn Display - Rework</t>
        </is>
      </c>
      <c r="F127" s="10" t="inlineStr">
        <is>
          <t>D/C Non-Joined</t>
        </is>
      </c>
      <c r="G127" s="8" t="n">
        <v>250</v>
      </c>
      <c r="H127" s="10" t="inlineStr">
        <is>
          <t>25AW0353A1</t>
        </is>
      </c>
      <c r="I127" s="8" t="n">
        <v>250</v>
      </c>
      <c r="J127" s="10" t="inlineStr">
        <is>
          <t>Gloss</t>
        </is>
      </c>
      <c r="K127" s="11" t="n">
        <v>6204.64</v>
      </c>
      <c r="L127" s="11" t="n">
        <v>6583.54</v>
      </c>
      <c r="M127" s="9" t="n">
        <v>-5.755262366447226</v>
      </c>
      <c r="N127" s="10" t="inlineStr">
        <is>
          <t>qty-unique</t>
        </is>
      </c>
    </row>
    <row r="128">
      <c r="A128" s="10" t="inlineStr">
        <is>
          <t>200-999</t>
        </is>
      </c>
      <c r="B128" s="8" t="n">
        <v>222182</v>
      </c>
      <c r="C128" s="10" t="inlineStr">
        <is>
          <t>CS-260806-131339</t>
        </is>
      </c>
      <c r="D128" s="10" t="inlineStr">
        <is>
          <t>Skybox Packaging, LLC</t>
        </is>
      </c>
      <c r="E128" s="10" t="inlineStr">
        <is>
          <t>Fragrance 101: Now in Session Header</t>
        </is>
      </c>
      <c r="F128" s="10" t="inlineStr">
        <is>
          <t>Display Header</t>
        </is>
      </c>
      <c r="G128" s="8" t="n">
        <v>250</v>
      </c>
      <c r="H128" s="10" t="inlineStr">
        <is>
          <t>Header</t>
        </is>
      </c>
      <c r="I128" s="8" t="n">
        <v>250</v>
      </c>
      <c r="J128" s="10" t="inlineStr">
        <is>
          <t>Satin</t>
        </is>
      </c>
      <c r="K128" s="11" t="n">
        <v>868.63</v>
      </c>
      <c r="L128" s="11" t="n">
        <v>686.41</v>
      </c>
      <c r="M128" s="9" t="n">
        <v>26.54681604288983</v>
      </c>
      <c r="N128" s="10" t="inlineStr">
        <is>
          <t>qty-unique</t>
        </is>
      </c>
    </row>
    <row r="129">
      <c r="A129" s="10" t="inlineStr">
        <is>
          <t>200-999</t>
        </is>
      </c>
      <c r="B129" s="8" t="n">
        <v>222182</v>
      </c>
      <c r="C129" s="10" t="inlineStr">
        <is>
          <t>CS-260806-131339</t>
        </is>
      </c>
      <c r="D129" s="10" t="inlineStr">
        <is>
          <t>Skybox Packaging, LLC</t>
        </is>
      </c>
      <c r="E129" s="10" t="inlineStr">
        <is>
          <t>Fragrance 101: Now in Session Header</t>
        </is>
      </c>
      <c r="F129" s="10" t="inlineStr">
        <is>
          <t>Display Header</t>
        </is>
      </c>
      <c r="G129" s="8" t="n">
        <v>500</v>
      </c>
      <c r="H129" s="10" t="inlineStr">
        <is>
          <t>Header</t>
        </is>
      </c>
      <c r="I129" s="8" t="n">
        <v>500</v>
      </c>
      <c r="J129" s="10" t="inlineStr">
        <is>
          <t>Satin</t>
        </is>
      </c>
      <c r="K129" s="11" t="n">
        <v>1259.41</v>
      </c>
      <c r="L129" s="11" t="n">
        <v>971.17</v>
      </c>
      <c r="M129" s="9" t="n">
        <v>29.67966473428958</v>
      </c>
      <c r="N129" s="10" t="inlineStr">
        <is>
          <t>qty-unique</t>
        </is>
      </c>
    </row>
    <row r="130">
      <c r="A130" s="10" t="inlineStr">
        <is>
          <t>200-999</t>
        </is>
      </c>
      <c r="B130" s="8" t="n">
        <v>222718</v>
      </c>
      <c r="C130" s="10" t="inlineStr">
        <is>
          <t>RW-260806-114526</t>
        </is>
      </c>
      <c r="D130" s="10" t="inlineStr">
        <is>
          <t>Skybox Packaging, LLC</t>
        </is>
      </c>
      <c r="E130" s="10" t="inlineStr">
        <is>
          <t>Quote #10732 — new print, same structure as Quote #215110</t>
        </is>
      </c>
      <c r="F130" s="10" t="inlineStr">
        <is>
          <t>Display Header</t>
        </is>
      </c>
      <c r="G130" s="8" t="n">
        <v>500</v>
      </c>
      <c r="H130" s="10" t="inlineStr">
        <is>
          <t>Header</t>
        </is>
      </c>
      <c r="I130" s="8" t="n">
        <v>500</v>
      </c>
      <c r="J130" s="10" t="inlineStr">
        <is>
          <t>Satin</t>
        </is>
      </c>
      <c r="K130" s="11" t="n">
        <v>1259.41</v>
      </c>
      <c r="L130" s="11" t="n">
        <v>971.17</v>
      </c>
      <c r="M130" s="9" t="n">
        <v>29.67966473428958</v>
      </c>
      <c r="N130" s="10" t="inlineStr">
        <is>
          <t>qty-unique</t>
        </is>
      </c>
    </row>
    <row r="131">
      <c r="A131" s="10" t="inlineStr">
        <is>
          <t>200-999</t>
        </is>
      </c>
      <c r="B131" s="8" t="n">
        <v>223488</v>
      </c>
      <c r="C131" s="10" t="inlineStr">
        <is>
          <t>RW-260706-094426</t>
        </is>
      </c>
      <c r="D131" s="10" t="inlineStr">
        <is>
          <t>Skybox Packaging, LLC</t>
        </is>
      </c>
      <c r="E131" s="10" t="inlineStr">
        <is>
          <t>Kent Displays Mailer &amp; Insert</t>
        </is>
      </c>
      <c r="F131" s="10" t="inlineStr">
        <is>
          <t>Mailer - Digital Print outside only, CAD Cut</t>
        </is>
      </c>
      <c r="G131" s="8" t="n">
        <v>300</v>
      </c>
      <c r="H131" s="10" t="inlineStr">
        <is>
          <t>Mailer Box - print 1-side</t>
        </is>
      </c>
      <c r="I131" s="8" t="n">
        <v>300</v>
      </c>
      <c r="J131" s="10" t="inlineStr">
        <is>
          <t>Satin</t>
        </is>
      </c>
      <c r="K131" s="11" t="n">
        <v>1608.33</v>
      </c>
      <c r="L131" s="11" t="n">
        <v>2305.96</v>
      </c>
      <c r="M131" s="9" t="n">
        <v>-30.25334350986141</v>
      </c>
      <c r="N131" s="10" t="inlineStr">
        <is>
          <t>qty-tie+name(0.56)</t>
        </is>
      </c>
    </row>
    <row r="132">
      <c r="A132" s="10" t="inlineStr">
        <is>
          <t>200-999</t>
        </is>
      </c>
      <c r="B132" s="8" t="n">
        <v>223488</v>
      </c>
      <c r="C132" s="10" t="inlineStr">
        <is>
          <t>RW-260706-094426</t>
        </is>
      </c>
      <c r="D132" s="10" t="inlineStr">
        <is>
          <t>Skybox Packaging, LLC</t>
        </is>
      </c>
      <c r="E132" s="10" t="inlineStr">
        <is>
          <t>Kent Displays Mailer &amp; Insert</t>
        </is>
      </c>
      <c r="F132" s="10" t="inlineStr">
        <is>
          <t>Mailer - Digital Print outside AND inside, CAD Cut</t>
        </is>
      </c>
      <c r="G132" s="8" t="n">
        <v>300</v>
      </c>
      <c r="H132" s="10" t="n">
        <v/>
      </c>
      <c r="I132" s="8" t="n"/>
      <c r="J132" s="10" t="inlineStr">
        <is>
          <t>Satin</t>
        </is>
      </c>
      <c r="K132" s="11" t="n">
        <v>1915.76</v>
      </c>
      <c r="L132" s="11" t="n"/>
      <c r="M132" s="9" t="n"/>
      <c r="N132" s="10" t="inlineStr">
        <is>
          <t>unmatched</t>
        </is>
      </c>
    </row>
    <row r="133">
      <c r="A133" s="10" t="inlineStr">
        <is>
          <t>200-999</t>
        </is>
      </c>
      <c r="B133" s="8" t="n">
        <v>223488</v>
      </c>
      <c r="C133" s="10" t="inlineStr">
        <is>
          <t>RW-260706-094426</t>
        </is>
      </c>
      <c r="D133" s="10" t="inlineStr">
        <is>
          <t>Skybox Packaging, LLC</t>
        </is>
      </c>
      <c r="E133" s="10" t="inlineStr">
        <is>
          <t>Kent Displays Mailer &amp; Insert</t>
        </is>
      </c>
      <c r="F133" s="10" t="inlineStr">
        <is>
          <t>Insert - White 2 sides, 100% coverage outside, Digital Print outside, CAD Cut</t>
        </is>
      </c>
      <c r="G133" s="8" t="n">
        <v>300</v>
      </c>
      <c r="H133" s="10" t="n">
        <v/>
      </c>
      <c r="I133" s="8" t="n"/>
      <c r="J133" s="10" t="inlineStr">
        <is>
          <t>Satin</t>
        </is>
      </c>
      <c r="K133" s="11" t="n">
        <v>1856.56</v>
      </c>
      <c r="L133" s="11" t="n"/>
      <c r="M133" s="9" t="n"/>
      <c r="N133" s="10" t="inlineStr">
        <is>
          <t>unmatched</t>
        </is>
      </c>
    </row>
    <row r="134">
      <c r="A134" s="10" t="inlineStr">
        <is>
          <t>200-999</t>
        </is>
      </c>
      <c r="B134" s="8" t="n">
        <v>223488</v>
      </c>
      <c r="C134" s="10" t="inlineStr">
        <is>
          <t>RW-260706-094426</t>
        </is>
      </c>
      <c r="D134" s="10" t="inlineStr">
        <is>
          <t>Skybox Packaging, LLC</t>
        </is>
      </c>
      <c r="E134" s="10" t="inlineStr">
        <is>
          <t>Kent Displays Mailer &amp; Insert</t>
        </is>
      </c>
      <c r="F134" s="10" t="inlineStr">
        <is>
          <t>Insert - Plain kraft with 100% coverage outside, Digital Print outside, CAD Cut</t>
        </is>
      </c>
      <c r="G134" s="8" t="n">
        <v>300</v>
      </c>
      <c r="H134" s="10" t="n">
        <v/>
      </c>
      <c r="I134" s="8" t="n"/>
      <c r="J134" s="10" t="inlineStr">
        <is>
          <t>Satin</t>
        </is>
      </c>
      <c r="K134" s="11" t="n">
        <v>1800.69</v>
      </c>
      <c r="L134" s="11" t="n"/>
      <c r="M134" s="9" t="n"/>
      <c r="N134" s="10" t="inlineStr">
        <is>
          <t>unmatched</t>
        </is>
      </c>
    </row>
    <row r="135">
      <c r="A135" s="10" t="inlineStr">
        <is>
          <t>200-999</t>
        </is>
      </c>
      <c r="B135" s="8" t="n">
        <v>223575</v>
      </c>
      <c r="C135" s="10" t="inlineStr">
        <is>
          <t>RW-260727-144121</t>
        </is>
      </c>
      <c r="D135" s="10" t="inlineStr">
        <is>
          <t>Skybox Packaging, LLC</t>
        </is>
      </c>
      <c r="E135" s="10" t="inlineStr">
        <is>
          <t>ICM Distributing Company Header</t>
        </is>
      </c>
      <c r="F135" s="10" t="inlineStr">
        <is>
          <t>Display Header</t>
        </is>
      </c>
      <c r="G135" s="8" t="n">
        <v>500</v>
      </c>
      <c r="H135" s="10" t="n">
        <v/>
      </c>
      <c r="I135" s="8" t="n"/>
      <c r="J135" s="10" t="inlineStr">
        <is>
          <t>Satin</t>
        </is>
      </c>
      <c r="K135" s="11" t="n">
        <v>1259.41</v>
      </c>
      <c r="L135" s="11" t="n"/>
      <c r="M135" s="9" t="n"/>
      <c r="N135" s="10" t="inlineStr">
        <is>
          <t>no-iq-rows</t>
        </is>
      </c>
    </row>
    <row r="136">
      <c r="A136" s="10" t="inlineStr">
        <is>
          <t>200-999</t>
        </is>
      </c>
      <c r="B136" s="8" t="n">
        <v>223864</v>
      </c>
      <c r="C136" s="10" t="inlineStr">
        <is>
          <t>CS-260803-133009</t>
        </is>
      </c>
      <c r="D136" s="10" t="inlineStr">
        <is>
          <t>Skybox Packaging, LLC</t>
        </is>
      </c>
      <c r="E136" s="10" t="inlineStr">
        <is>
          <t>Targeted Pet Treats - Country Kitchen Promotional Shipper</t>
        </is>
      </c>
      <c r="F136" s="10" t="inlineStr">
        <is>
          <t>Shelf</t>
        </is>
      </c>
      <c r="G136" s="8" t="n">
        <v>500</v>
      </c>
      <c r="H136" s="10" t="inlineStr">
        <is>
          <t>MRO40606 Shelf</t>
        </is>
      </c>
      <c r="I136" s="8" t="n">
        <v>500</v>
      </c>
      <c r="J136" s="10" t="inlineStr">
        <is>
          <t>Satin</t>
        </is>
      </c>
      <c r="K136" s="11" t="n">
        <v>11243.42</v>
      </c>
      <c r="L136" s="11" t="n">
        <v>9569.23</v>
      </c>
      <c r="M136" s="9" t="n">
        <v>17.49555606877461</v>
      </c>
      <c r="N136" s="10" t="inlineStr">
        <is>
          <t>qty-unique</t>
        </is>
      </c>
    </row>
    <row r="137">
      <c r="A137" s="10" t="inlineStr">
        <is>
          <t>200-999</t>
        </is>
      </c>
      <c r="B137" s="8" t="n">
        <v>223864</v>
      </c>
      <c r="C137" s="10" t="inlineStr">
        <is>
          <t>CS-260803-133009</t>
        </is>
      </c>
      <c r="D137" s="10" t="inlineStr">
        <is>
          <t>Skybox Packaging, LLC</t>
        </is>
      </c>
      <c r="E137" s="10" t="inlineStr">
        <is>
          <t>Targeted Pet Treats - Country Kitchen Promotional Shipper</t>
        </is>
      </c>
      <c r="F137" s="10" t="inlineStr">
        <is>
          <t>Tray (2-up)</t>
        </is>
      </c>
      <c r="G137" s="8" t="n">
        <v>500</v>
      </c>
      <c r="H137" s="10" t="n">
        <v/>
      </c>
      <c r="I137" s="8" t="n"/>
      <c r="J137" s="10" t="inlineStr">
        <is>
          <t>Satin</t>
        </is>
      </c>
      <c r="K137" s="11" t="n">
        <v>2699.4</v>
      </c>
      <c r="L137" s="11" t="n"/>
      <c r="M137" s="9" t="n"/>
      <c r="N137" s="10" t="inlineStr">
        <is>
          <t>unmatched</t>
        </is>
      </c>
    </row>
    <row r="138">
      <c r="A138" s="10" t="inlineStr">
        <is>
          <t>200-999</t>
        </is>
      </c>
      <c r="B138" s="8" t="n">
        <v>223878</v>
      </c>
      <c r="C138" s="10" t="inlineStr">
        <is>
          <t>RW-260731-113050</t>
        </is>
      </c>
      <c r="D138" s="10" t="inlineStr">
        <is>
          <t>Skybox Packaging, LLC</t>
        </is>
      </c>
      <c r="E138" s="10" t="inlineStr">
        <is>
          <t>Walmart Sidekick Display - Lubrication Specialties (Hot Shot's Secret)</t>
        </is>
      </c>
      <c r="F138" s="10" t="inlineStr">
        <is>
          <t>Walmart Sidekick Shelf (4-up digitally printed sheets, Skybox to die cut)</t>
        </is>
      </c>
      <c r="G138" s="8" t="n">
        <v>250</v>
      </c>
      <c r="H138" s="10" t="inlineStr">
        <is>
          <t>Shelf</t>
        </is>
      </c>
      <c r="I138" s="8" t="n">
        <v>250</v>
      </c>
      <c r="J138" s="10" t="inlineStr">
        <is>
          <t>Satin</t>
        </is>
      </c>
      <c r="K138" s="11" t="n">
        <v>1532.19</v>
      </c>
      <c r="L138" s="11" t="n">
        <v>1156.94</v>
      </c>
      <c r="M138" s="9" t="n">
        <v>32.43469842861341</v>
      </c>
      <c r="N138" s="10" t="inlineStr">
        <is>
          <t>qty-unique</t>
        </is>
      </c>
    </row>
    <row r="139">
      <c r="A139" s="10" t="inlineStr">
        <is>
          <t>200-999</t>
        </is>
      </c>
      <c r="B139" s="8" t="n">
        <v>223878</v>
      </c>
      <c r="C139" s="10" t="inlineStr">
        <is>
          <t>RW-260731-113050</t>
        </is>
      </c>
      <c r="D139" s="10" t="inlineStr">
        <is>
          <t>Skybox Packaging, LLC</t>
        </is>
      </c>
      <c r="E139" s="10" t="inlineStr">
        <is>
          <t>Walmart Sidekick Display - Lubrication Specialties (Hot Shot's Secret)</t>
        </is>
      </c>
      <c r="F139" s="10" t="inlineStr">
        <is>
          <t>Header - digitally printed and CAD cut</t>
        </is>
      </c>
      <c r="G139" s="8" t="n">
        <v>250</v>
      </c>
      <c r="H139" s="10" t="n">
        <v/>
      </c>
      <c r="I139" s="8" t="n"/>
      <c r="J139" s="10" t="inlineStr">
        <is>
          <t>Satin</t>
        </is>
      </c>
      <c r="K139" s="11" t="n">
        <v>1070.82</v>
      </c>
      <c r="L139" s="11" t="n"/>
      <c r="M139" s="9" t="n"/>
      <c r="N139" s="10" t="inlineStr">
        <is>
          <t>unmatched</t>
        </is>
      </c>
    </row>
    <row r="140">
      <c r="A140" s="10" t="inlineStr">
        <is>
          <t>200-999</t>
        </is>
      </c>
      <c r="B140" s="8" t="n">
        <v>223878</v>
      </c>
      <c r="C140" s="10" t="inlineStr">
        <is>
          <t>RW-260731-113050</t>
        </is>
      </c>
      <c r="D140" s="10" t="inlineStr">
        <is>
          <t>Skybox Packaging, LLC</t>
        </is>
      </c>
      <c r="E140" s="10" t="inlineStr">
        <is>
          <t>Walmart Sidekick Display - Lubrication Specialties (Hot Shot's Secret)</t>
        </is>
      </c>
      <c r="F140" s="10" t="inlineStr">
        <is>
          <t>Walmart Sidekick Shelf (4-up digitally printed sheets, Skybox to die cut)</t>
        </is>
      </c>
      <c r="G140" s="8" t="n">
        <v>500</v>
      </c>
      <c r="H140" s="10" t="inlineStr">
        <is>
          <t>Shelf</t>
        </is>
      </c>
      <c r="I140" s="8" t="n">
        <v>500</v>
      </c>
      <c r="J140" s="10" t="inlineStr">
        <is>
          <t>Satin</t>
        </is>
      </c>
      <c r="K140" s="11" t="n">
        <v>2610.83</v>
      </c>
      <c r="L140" s="11" t="n">
        <v>1979.54</v>
      </c>
      <c r="M140" s="9" t="n">
        <v>31.89074229366418</v>
      </c>
      <c r="N140" s="10" t="inlineStr">
        <is>
          <t>qty-unique</t>
        </is>
      </c>
    </row>
    <row r="141">
      <c r="A141" s="10" t="inlineStr">
        <is>
          <t>200-999</t>
        </is>
      </c>
      <c r="B141" s="8" t="n">
        <v>223878</v>
      </c>
      <c r="C141" s="10" t="inlineStr">
        <is>
          <t>RW-260731-113050</t>
        </is>
      </c>
      <c r="D141" s="10" t="inlineStr">
        <is>
          <t>Skybox Packaging, LLC</t>
        </is>
      </c>
      <c r="E141" s="10" t="inlineStr">
        <is>
          <t>Walmart Sidekick Display - Lubrication Specialties (Hot Shot's Secret)</t>
        </is>
      </c>
      <c r="F141" s="10" t="inlineStr">
        <is>
          <t>Header - digitally printed and CAD cut</t>
        </is>
      </c>
      <c r="G141" s="8" t="n">
        <v>500</v>
      </c>
      <c r="H141" s="10" t="n">
        <v/>
      </c>
      <c r="I141" s="8" t="n"/>
      <c r="J141" s="10" t="inlineStr">
        <is>
          <t>Satin</t>
        </is>
      </c>
      <c r="K141" s="11" t="n">
        <v>1385.72</v>
      </c>
      <c r="L141" s="11" t="n"/>
      <c r="M141" s="9" t="n"/>
      <c r="N141" s="10" t="inlineStr">
        <is>
          <t>unmatched</t>
        </is>
      </c>
    </row>
    <row r="142">
      <c r="A142" s="10" t="inlineStr">
        <is>
          <t>200-999</t>
        </is>
      </c>
      <c r="B142" s="8" t="n">
        <v>223393</v>
      </c>
      <c r="C142" s="10" t="inlineStr">
        <is>
          <t>RW-260804-132826</t>
        </is>
      </c>
      <c r="D142" s="10" t="inlineStr">
        <is>
          <t>Spring Cove Container, Inc</t>
        </is>
      </c>
      <c r="E142" s="10" t="inlineStr">
        <is>
          <t>Whirlpool Press Sheet</t>
        </is>
      </c>
      <c r="F142" s="10" t="inlineStr">
        <is>
          <t>SC24-101</t>
        </is>
      </c>
      <c r="G142" s="8" t="n">
        <v>230</v>
      </c>
      <c r="H142" s="10" t="n">
        <v/>
      </c>
      <c r="I142" s="8" t="n"/>
      <c r="J142" s="10" t="inlineStr">
        <is>
          <t>Gloss</t>
        </is>
      </c>
      <c r="K142" s="11" t="n">
        <v>1664.9</v>
      </c>
      <c r="L142" s="11" t="n"/>
      <c r="M142" s="9" t="n"/>
      <c r="N142" s="10" t="inlineStr">
        <is>
          <t>no-iq-rows</t>
        </is>
      </c>
    </row>
    <row r="143">
      <c r="A143" s="10" t="inlineStr">
        <is>
          <t>200-999</t>
        </is>
      </c>
      <c r="B143" s="8" t="n">
        <v>223597</v>
      </c>
      <c r="C143" s="10" t="inlineStr">
        <is>
          <t>RW-260730-155412</t>
        </is>
      </c>
      <c r="D143" s="10" t="inlineStr">
        <is>
          <t>Tavens</t>
        </is>
      </c>
      <c r="E143" s="10" t="inlineStr">
        <is>
          <t>New Piston Kit</t>
        </is>
      </c>
      <c r="F143" s="10" t="inlineStr">
        <is>
          <t>Front Tuck w/ Partition</t>
        </is>
      </c>
      <c r="G143" s="8" t="n">
        <v>250</v>
      </c>
      <c r="H143" s="10" t="n">
        <v/>
      </c>
      <c r="I143" s="8" t="n"/>
      <c r="J143" s="10" t="inlineStr">
        <is>
          <t>Gloss</t>
        </is>
      </c>
      <c r="K143" s="11" t="n">
        <v>3071.43</v>
      </c>
      <c r="L143" s="11" t="n"/>
      <c r="M143" s="9" t="n"/>
      <c r="N143" s="10" t="inlineStr">
        <is>
          <t>no-iq-rows</t>
        </is>
      </c>
    </row>
    <row r="144">
      <c r="A144" s="10" t="inlineStr">
        <is>
          <t>200-999</t>
        </is>
      </c>
      <c r="B144" s="8" t="n">
        <v>223701</v>
      </c>
      <c r="C144" s="10" t="inlineStr">
        <is>
          <t>RW-260720-133223</t>
        </is>
      </c>
      <c r="D144" s="10" t="inlineStr">
        <is>
          <t>Tavens</t>
        </is>
      </c>
      <c r="E144" s="10" t="inlineStr">
        <is>
          <t>TR-10351 16x8.5x6</t>
        </is>
      </c>
      <c r="F144" s="10" t="inlineStr">
        <is>
          <t>Front Tuck Mailer 16x8.5x3.25</t>
        </is>
      </c>
      <c r="G144" s="8" t="n">
        <v>200</v>
      </c>
      <c r="H144" s="10" t="n">
        <v/>
      </c>
      <c r="I144" s="8" t="n"/>
      <c r="J144" s="10" t="inlineStr">
        <is>
          <t>Gloss</t>
        </is>
      </c>
      <c r="K144" s="11" t="n">
        <v>1748.74</v>
      </c>
      <c r="L144" s="11" t="n"/>
      <c r="M144" s="9" t="n"/>
      <c r="N144" s="10" t="inlineStr">
        <is>
          <t>unmatched</t>
        </is>
      </c>
    </row>
    <row r="145">
      <c r="A145" s="10" t="inlineStr">
        <is>
          <t>200-999</t>
        </is>
      </c>
      <c r="B145" s="8" t="n">
        <v>223393</v>
      </c>
      <c r="C145" s="10" t="inlineStr">
        <is>
          <t>RW-260727-102959</t>
        </is>
      </c>
      <c r="D145" s="10" t="n">
        <v/>
      </c>
      <c r="E145" s="10" t="inlineStr">
        <is>
          <t>Whirlpool Press Sheet</t>
        </is>
      </c>
      <c r="F145" s="10" t="inlineStr">
        <is>
          <t>SC24-101</t>
        </is>
      </c>
      <c r="G145" s="8" t="n">
        <v>230</v>
      </c>
      <c r="H145" s="10" t="inlineStr">
        <is>
          <t>Sheet</t>
        </is>
      </c>
      <c r="I145" s="8" t="n">
        <v>230</v>
      </c>
      <c r="J145" s="10" t="inlineStr">
        <is>
          <t>Satin</t>
        </is>
      </c>
      <c r="K145" s="11" t="n">
        <v>1753.9</v>
      </c>
      <c r="L145" s="11" t="n">
        <v>1387.27</v>
      </c>
      <c r="M145" s="9" t="n">
        <v>26.42816466873789</v>
      </c>
      <c r="N145" s="10" t="inlineStr">
        <is>
          <t>qty-unique</t>
        </is>
      </c>
    </row>
    <row r="146">
      <c r="A146" s="10" t="inlineStr">
        <is>
          <t>200-999</t>
        </is>
      </c>
      <c r="B146" s="8" t="n">
        <v>223837</v>
      </c>
      <c r="C146" s="10" t="inlineStr">
        <is>
          <t>RW-260730-153734</t>
        </is>
      </c>
      <c r="D146" s="10" t="n">
        <v/>
      </c>
      <c r="E146" s="10" t="inlineStr">
        <is>
          <t>Cento Authentic Italian Header</t>
        </is>
      </c>
      <c r="F146" s="10" t="inlineStr">
        <is>
          <t>Display Header</t>
        </is>
      </c>
      <c r="G146" s="8" t="n">
        <v>500</v>
      </c>
      <c r="H146" s="10" t="n">
        <v/>
      </c>
      <c r="I146" s="8" t="n"/>
      <c r="J146" s="10" t="inlineStr">
        <is>
          <t>Gloss</t>
        </is>
      </c>
      <c r="K146" s="11" t="n">
        <v>1668.47</v>
      </c>
      <c r="L146" s="11" t="n"/>
      <c r="M146" s="9" t="n"/>
      <c r="N146" s="10" t="inlineStr">
        <is>
          <t>unmatched</t>
        </is>
      </c>
    </row>
    <row r="147">
      <c r="A147" s="10" t="inlineStr">
        <is>
          <t>1000-4999</t>
        </is>
      </c>
      <c r="B147" s="8" t="n">
        <v>223318</v>
      </c>
      <c r="C147" s="10" t="inlineStr">
        <is>
          <t>RW-260807-140331</t>
        </is>
      </c>
      <c r="D147" s="10" t="inlineStr">
        <is>
          <t>Apex Display Group</t>
        </is>
      </c>
      <c r="E147" s="10" t="inlineStr">
        <is>
          <t xml:space="preserve">36ct 3 Step FD </t>
        </is>
      </c>
      <c r="F147" s="10" t="inlineStr">
        <is>
          <t>Header - Kemi/Kraft Option</t>
        </is>
      </c>
      <c r="G147" s="8" t="n">
        <v>1000</v>
      </c>
      <c r="H147" s="10" t="n">
        <v/>
      </c>
      <c r="I147" s="8" t="n"/>
      <c r="J147" s="10" t="inlineStr">
        <is>
          <t>Gloss</t>
        </is>
      </c>
      <c r="K147" s="11" t="n">
        <v>1815.76</v>
      </c>
      <c r="L147" s="11" t="n"/>
      <c r="M147" s="9" t="n"/>
      <c r="N147" s="10" t="inlineStr">
        <is>
          <t>unmatched</t>
        </is>
      </c>
    </row>
    <row r="148">
      <c r="A148" s="10" t="inlineStr">
        <is>
          <t>1000-4999</t>
        </is>
      </c>
      <c r="B148" s="8" t="n">
        <v>223318</v>
      </c>
      <c r="C148" s="10" t="inlineStr">
        <is>
          <t>RW-260807-140331</t>
        </is>
      </c>
      <c r="D148" s="10" t="inlineStr">
        <is>
          <t>Apex Display Group</t>
        </is>
      </c>
      <c r="E148" s="10" t="inlineStr">
        <is>
          <t xml:space="preserve">36ct 3 Step FD </t>
        </is>
      </c>
      <c r="F148" s="10" t="inlineStr">
        <is>
          <t>Header - Kemi/Kla</t>
        </is>
      </c>
      <c r="G148" s="8" t="n">
        <v>1000</v>
      </c>
      <c r="H148" s="10" t="inlineStr">
        <is>
          <t>Header</t>
        </is>
      </c>
      <c r="I148" s="8" t="n">
        <v>1000</v>
      </c>
      <c r="J148" s="10" t="inlineStr">
        <is>
          <t>Satin</t>
        </is>
      </c>
      <c r="K148" s="11" t="n">
        <v>1841.16</v>
      </c>
      <c r="L148" s="11" t="n">
        <v>1671.53</v>
      </c>
      <c r="M148" s="9" t="n">
        <v>10.14818758861642</v>
      </c>
      <c r="N148" s="10" t="inlineStr">
        <is>
          <t>qty-tie+name(0.57)</t>
        </is>
      </c>
    </row>
    <row r="149">
      <c r="A149" s="10" t="inlineStr">
        <is>
          <t>1000-4999</t>
        </is>
      </c>
      <c r="B149" s="8" t="n">
        <v>223318</v>
      </c>
      <c r="C149" s="10" t="inlineStr">
        <is>
          <t>RW-260807-140331</t>
        </is>
      </c>
      <c r="D149" s="10" t="inlineStr">
        <is>
          <t>Apex Display Group</t>
        </is>
      </c>
      <c r="E149" s="10" t="inlineStr">
        <is>
          <t xml:space="preserve">36ct 3 Step FD </t>
        </is>
      </c>
      <c r="F149" s="10" t="inlineStr">
        <is>
          <t>Header - Kemi/Kraft Option</t>
        </is>
      </c>
      <c r="G149" s="8" t="n">
        <v>1500</v>
      </c>
      <c r="H149" s="10" t="n">
        <v/>
      </c>
      <c r="I149" s="8" t="n"/>
      <c r="J149" s="10" t="inlineStr">
        <is>
          <t>Gloss</t>
        </is>
      </c>
      <c r="K149" s="11" t="n">
        <v>2445.5</v>
      </c>
      <c r="L149" s="11" t="n"/>
      <c r="M149" s="9" t="n"/>
      <c r="N149" s="10" t="inlineStr">
        <is>
          <t>unmatched</t>
        </is>
      </c>
    </row>
    <row r="150">
      <c r="A150" s="10" t="inlineStr">
        <is>
          <t>1000-4999</t>
        </is>
      </c>
      <c r="B150" s="8" t="n">
        <v>223318</v>
      </c>
      <c r="C150" s="10" t="inlineStr">
        <is>
          <t>RW-260807-140331</t>
        </is>
      </c>
      <c r="D150" s="10" t="inlineStr">
        <is>
          <t>Apex Display Group</t>
        </is>
      </c>
      <c r="E150" s="10" t="inlineStr">
        <is>
          <t xml:space="preserve">36ct 3 Step FD </t>
        </is>
      </c>
      <c r="F150" s="10" t="inlineStr">
        <is>
          <t>Header - Kemi/Kla</t>
        </is>
      </c>
      <c r="G150" s="8" t="n">
        <v>1500</v>
      </c>
      <c r="H150" s="10" t="inlineStr">
        <is>
          <t>Header</t>
        </is>
      </c>
      <c r="I150" s="8" t="n">
        <v>1500</v>
      </c>
      <c r="J150" s="10" t="inlineStr">
        <is>
          <t>Satin</t>
        </is>
      </c>
      <c r="K150" s="11" t="n">
        <v>2481.05</v>
      </c>
      <c r="L150" s="11" t="n">
        <v>2219.83</v>
      </c>
      <c r="M150" s="9" t="n">
        <v>11.76756778672242</v>
      </c>
      <c r="N150" s="10" t="inlineStr">
        <is>
          <t>qty-tie+name(0.57)</t>
        </is>
      </c>
    </row>
    <row r="151">
      <c r="A151" s="10" t="inlineStr">
        <is>
          <t>1000-4999</t>
        </is>
      </c>
      <c r="B151" s="8" t="n">
        <v>224446</v>
      </c>
      <c r="C151" s="10" t="inlineStr">
        <is>
          <t>CS-260826-115130</t>
        </is>
      </c>
      <c r="D151" s="10" t="inlineStr">
        <is>
          <t>Apex Display Group</t>
        </is>
      </c>
      <c r="E151" s="10" t="inlineStr">
        <is>
          <t>Barrys Gold 80ct</t>
        </is>
      </c>
      <c r="F151" s="10" t="inlineStr">
        <is>
          <t>Display Header</t>
        </is>
      </c>
      <c r="G151" s="8" t="n">
        <v>1000</v>
      </c>
      <c r="H151" s="10" t="inlineStr">
        <is>
          <t>Header</t>
        </is>
      </c>
      <c r="I151" s="8" t="n">
        <v>1000</v>
      </c>
      <c r="J151" s="10" t="inlineStr">
        <is>
          <t>Gloss</t>
        </is>
      </c>
      <c r="K151" s="11" t="n">
        <v>1867.68</v>
      </c>
      <c r="L151" s="11" t="n">
        <v>1748.62</v>
      </c>
      <c r="M151" s="9" t="n">
        <v>6.808797794832507</v>
      </c>
      <c r="N151" s="10" t="inlineStr">
        <is>
          <t>qty-unique</t>
        </is>
      </c>
    </row>
    <row r="152">
      <c r="A152" s="10" t="inlineStr">
        <is>
          <t>1000-4999</t>
        </is>
      </c>
      <c r="B152" s="8" t="n">
        <v>224504</v>
      </c>
      <c r="C152" s="10" t="inlineStr">
        <is>
          <t>CD-260825-134048</t>
        </is>
      </c>
      <c r="D152" s="10" t="inlineStr">
        <is>
          <t>Apex Display Group</t>
        </is>
      </c>
      <c r="E152" s="10" t="inlineStr">
        <is>
          <t>Universal</t>
        </is>
      </c>
      <c r="F152" s="10" t="inlineStr">
        <is>
          <t>D/C Tray</t>
        </is>
      </c>
      <c r="G152" s="8" t="n">
        <v>1000</v>
      </c>
      <c r="H152" s="10" t="inlineStr">
        <is>
          <t>Bottom Graphic</t>
        </is>
      </c>
      <c r="I152" s="8" t="n">
        <v>1000</v>
      </c>
      <c r="J152" s="10" t="inlineStr">
        <is>
          <t>Gloss</t>
        </is>
      </c>
      <c r="K152" s="11" t="n">
        <v>1882.13</v>
      </c>
      <c r="L152" s="11" t="n">
        <v>1739.5</v>
      </c>
      <c r="M152" s="9" t="n">
        <v>8.199482609945392</v>
      </c>
      <c r="N152" s="10" t="inlineStr">
        <is>
          <t>qty-unique</t>
        </is>
      </c>
    </row>
    <row r="153">
      <c r="A153" s="10" t="inlineStr">
        <is>
          <t>1000-4999</t>
        </is>
      </c>
      <c r="B153" s="8" t="n">
        <v>223313</v>
      </c>
      <c r="C153" s="10" t="inlineStr">
        <is>
          <t>RW-260807-135919</t>
        </is>
      </c>
      <c r="D153" s="10" t="inlineStr">
        <is>
          <t>BCI- Syracuse</t>
        </is>
      </c>
      <c r="E153" s="10" t="inlineStr">
        <is>
          <t>Fedrigoni Paper Crane</t>
        </is>
      </c>
      <c r="F153" s="10" t="inlineStr">
        <is>
          <t>V0012</t>
        </is>
      </c>
      <c r="G153" s="8" t="n">
        <v>1000</v>
      </c>
      <c r="H153" s="10" t="inlineStr">
        <is>
          <t>Crane Box</t>
        </is>
      </c>
      <c r="I153" s="8" t="n">
        <v>1000</v>
      </c>
      <c r="J153" s="10" t="inlineStr">
        <is>
          <t>Gloss</t>
        </is>
      </c>
      <c r="K153" s="11" t="n">
        <v>4925.25</v>
      </c>
      <c r="L153" s="11" t="n">
        <v>4937.17</v>
      </c>
      <c r="M153" s="9" t="n">
        <v>-0.2414338578578431</v>
      </c>
      <c r="N153" s="10" t="inlineStr">
        <is>
          <t>qty-unique</t>
        </is>
      </c>
    </row>
    <row r="154">
      <c r="A154" s="10" t="inlineStr">
        <is>
          <t>1000-4999</t>
        </is>
      </c>
      <c r="B154" s="8" t="n">
        <v>223911</v>
      </c>
      <c r="C154" s="10" t="inlineStr">
        <is>
          <t>RW-260730-164119</t>
        </is>
      </c>
      <c r="D154" s="10" t="inlineStr">
        <is>
          <t>Compass Packaging</t>
        </is>
      </c>
      <c r="E154" s="10" t="inlineStr">
        <is>
          <t>CAL-AC22</t>
        </is>
      </c>
      <c r="F154" s="10" t="inlineStr">
        <is>
          <t>D/C Tray</t>
        </is>
      </c>
      <c r="G154" s="8" t="n">
        <v>1000</v>
      </c>
      <c r="H154" s="10" t="inlineStr">
        <is>
          <t>D13070180</t>
        </is>
      </c>
      <c r="I154" s="8" t="n">
        <v>1000</v>
      </c>
      <c r="J154" s="10" t="inlineStr">
        <is>
          <t>Satin</t>
        </is>
      </c>
      <c r="K154" s="11" t="n">
        <v>3254.19</v>
      </c>
      <c r="L154" s="11" t="n">
        <v>4172.85</v>
      </c>
      <c r="M154" s="9" t="n">
        <v>-22.0151694884791</v>
      </c>
      <c r="N154" s="10" t="inlineStr">
        <is>
          <t>qty-unique</t>
        </is>
      </c>
    </row>
    <row r="155">
      <c r="A155" s="10" t="inlineStr">
        <is>
          <t>1000-4999</t>
        </is>
      </c>
      <c r="B155" s="8" t="n">
        <v>223911</v>
      </c>
      <c r="C155" s="10" t="inlineStr">
        <is>
          <t>RW-260730-164119</t>
        </is>
      </c>
      <c r="D155" s="10" t="inlineStr">
        <is>
          <t>Compass Packaging</t>
        </is>
      </c>
      <c r="E155" s="10" t="inlineStr">
        <is>
          <t>CAL-AC22</t>
        </is>
      </c>
      <c r="F155" s="10" t="inlineStr">
        <is>
          <t>D/C Tray</t>
        </is>
      </c>
      <c r="G155" s="8" t="n">
        <v>1500</v>
      </c>
      <c r="H155" s="10" t="inlineStr">
        <is>
          <t>D13070180</t>
        </is>
      </c>
      <c r="I155" s="8" t="n">
        <v>1500</v>
      </c>
      <c r="J155" s="10" t="inlineStr">
        <is>
          <t>Satin</t>
        </is>
      </c>
      <c r="K155" s="11" t="n">
        <v>4671.8</v>
      </c>
      <c r="L155" s="11" t="n">
        <v>5189.55</v>
      </c>
      <c r="M155" s="9" t="n">
        <v>-9.976780260330857</v>
      </c>
      <c r="N155" s="10" t="inlineStr">
        <is>
          <t>qty-unique</t>
        </is>
      </c>
    </row>
    <row r="156">
      <c r="A156" s="10" t="inlineStr">
        <is>
          <t>1000-4999</t>
        </is>
      </c>
      <c r="B156" s="8" t="n">
        <v>222466</v>
      </c>
      <c r="C156" s="10" t="inlineStr">
        <is>
          <t>RW-260805-111442</t>
        </is>
      </c>
      <c r="D156" s="10" t="inlineStr">
        <is>
          <t>McElroy Contract Packaging, Inc.</t>
        </is>
      </c>
      <c r="E156" s="10" t="inlineStr">
        <is>
          <t>Consolidated Solutions</t>
        </is>
      </c>
      <c r="F156" s="10" t="inlineStr">
        <is>
          <t>Med Digital Sleeve</t>
        </is>
      </c>
      <c r="G156" s="8" t="n">
        <v>1360</v>
      </c>
      <c r="H156" s="10" t="inlineStr">
        <is>
          <t>Medium Sleeve</t>
        </is>
      </c>
      <c r="I156" s="8" t="n">
        <v>1360</v>
      </c>
      <c r="J156" s="10" t="inlineStr">
        <is>
          <t>Satin</t>
        </is>
      </c>
      <c r="K156" s="11" t="n">
        <v>4267.91</v>
      </c>
      <c r="L156" s="11" t="n">
        <v>4174.76</v>
      </c>
      <c r="M156" s="9" t="n">
        <v>2.231265988943068</v>
      </c>
      <c r="N156" s="10" t="inlineStr">
        <is>
          <t>qty-unique</t>
        </is>
      </c>
    </row>
    <row r="157">
      <c r="A157" s="10" t="inlineStr">
        <is>
          <t>1000-4999</t>
        </is>
      </c>
      <c r="B157" s="8" t="n">
        <v>222478</v>
      </c>
      <c r="C157" s="10" t="inlineStr">
        <is>
          <t>RW-260805-132313</t>
        </is>
      </c>
      <c r="D157" s="10" t="inlineStr">
        <is>
          <t>McElroy Contract Packaging, Inc.</t>
        </is>
      </c>
      <c r="E157" s="10" t="inlineStr">
        <is>
          <t>XL Sleeve</t>
        </is>
      </c>
      <c r="F157" s="10" t="inlineStr">
        <is>
          <t>XL Sleeve</t>
        </is>
      </c>
      <c r="G157" s="8" t="n">
        <v>1462</v>
      </c>
      <c r="H157" s="10" t="inlineStr">
        <is>
          <t xml:space="preserve">XL Sleeve </t>
        </is>
      </c>
      <c r="I157" s="8" t="n">
        <v>1462</v>
      </c>
      <c r="J157" s="10" t="inlineStr">
        <is>
          <t>Satin</t>
        </is>
      </c>
      <c r="K157" s="11" t="n">
        <v>7049.56</v>
      </c>
      <c r="L157" s="11" t="n">
        <v>7092.15</v>
      </c>
      <c r="M157" s="9" t="n">
        <v>-0.6005231135833173</v>
      </c>
      <c r="N157" s="10" t="inlineStr">
        <is>
          <t>qty-unique</t>
        </is>
      </c>
    </row>
    <row r="158">
      <c r="A158" s="10" t="inlineStr">
        <is>
          <t>1000-4999</t>
        </is>
      </c>
      <c r="B158" s="8" t="n">
        <v>223199</v>
      </c>
      <c r="C158" s="10" t="inlineStr">
        <is>
          <t>RW-260807-135507</t>
        </is>
      </c>
      <c r="D158" s="10" t="inlineStr">
        <is>
          <t>PCA / Fairfield, OH</t>
        </is>
      </c>
      <c r="E158" s="10" t="inlineStr">
        <is>
          <t>Energizer Multi-Pak Tray</t>
        </is>
      </c>
      <c r="F158" s="10" t="inlineStr">
        <is>
          <t>186184</t>
        </is>
      </c>
      <c r="G158" s="8" t="n">
        <v>1200</v>
      </c>
      <c r="H158" s="10" t="n">
        <v>186184</v>
      </c>
      <c r="I158" s="8" t="n">
        <v>1200</v>
      </c>
      <c r="J158" s="10" t="inlineStr">
        <is>
          <t>Gloss</t>
        </is>
      </c>
      <c r="K158" s="11" t="n">
        <v>1753.94</v>
      </c>
      <c r="L158" s="11" t="n">
        <v>1856.62</v>
      </c>
      <c r="M158" s="9" t="n">
        <v>-5.530480119787563</v>
      </c>
      <c r="N158" s="10" t="inlineStr">
        <is>
          <t>qty-unique</t>
        </is>
      </c>
    </row>
    <row r="159">
      <c r="A159" s="10" t="inlineStr">
        <is>
          <t>1000-4999</t>
        </is>
      </c>
      <c r="B159" s="8" t="n">
        <v>223882</v>
      </c>
      <c r="C159" s="10" t="inlineStr">
        <is>
          <t>RW-260730-155953</t>
        </is>
      </c>
      <c r="D159" s="10" t="inlineStr">
        <is>
          <t>PCA Pennsylvania Acquisition Corporation</t>
        </is>
      </c>
      <c r="E159" s="10" t="inlineStr">
        <is>
          <t>SpectroDolce - Fudge Tray Display</t>
        </is>
      </c>
      <c r="F159" s="10" t="inlineStr">
        <is>
          <t>Die Cut Tray</t>
        </is>
      </c>
      <c r="G159" s="8" t="n">
        <v>1000</v>
      </c>
      <c r="H159" s="10" t="n">
        <v/>
      </c>
      <c r="I159" s="8" t="n"/>
      <c r="J159" s="10" t="inlineStr">
        <is>
          <t>Satin</t>
        </is>
      </c>
      <c r="K159" s="11" t="n">
        <v>3826.23</v>
      </c>
      <c r="L159" s="11" t="n"/>
      <c r="M159" s="9" t="n"/>
      <c r="N159" s="10" t="inlineStr">
        <is>
          <t>no-iq-rows</t>
        </is>
      </c>
    </row>
    <row r="160">
      <c r="A160" s="10" t="inlineStr">
        <is>
          <t>1000-4999</t>
        </is>
      </c>
      <c r="B160" s="8" t="n">
        <v>223864</v>
      </c>
      <c r="C160" s="10" t="inlineStr">
        <is>
          <t>CS-260803-133009</t>
        </is>
      </c>
      <c r="D160" s="10" t="inlineStr">
        <is>
          <t>Skybox Packaging, LLC</t>
        </is>
      </c>
      <c r="E160" s="10" t="inlineStr">
        <is>
          <t>Targeted Pet Treats - Country Kitchen Promotional Shipper</t>
        </is>
      </c>
      <c r="F160" s="10" t="inlineStr">
        <is>
          <t>Shelf</t>
        </is>
      </c>
      <c r="G160" s="8" t="n">
        <v>1000</v>
      </c>
      <c r="H160" s="10" t="n">
        <v/>
      </c>
      <c r="I160" s="8" t="n"/>
      <c r="J160" s="10" t="inlineStr">
        <is>
          <t>Satin</t>
        </is>
      </c>
      <c r="K160" s="11" t="n">
        <v>22080.3</v>
      </c>
      <c r="L160" s="11" t="n"/>
      <c r="M160" s="9" t="n"/>
      <c r="N160" s="10" t="inlineStr">
        <is>
          <t>unmatched</t>
        </is>
      </c>
    </row>
    <row r="161">
      <c r="A161" s="10" t="inlineStr">
        <is>
          <t>1000-4999</t>
        </is>
      </c>
      <c r="B161" s="8" t="n">
        <v>223864</v>
      </c>
      <c r="C161" s="10" t="inlineStr">
        <is>
          <t>CS-260803-133009</t>
        </is>
      </c>
      <c r="D161" s="10" t="inlineStr">
        <is>
          <t>Skybox Packaging, LLC</t>
        </is>
      </c>
      <c r="E161" s="10" t="inlineStr">
        <is>
          <t>Targeted Pet Treats - Country Kitchen Promotional Shipper</t>
        </is>
      </c>
      <c r="F161" s="10" t="inlineStr">
        <is>
          <t>Tray (2-up)</t>
        </is>
      </c>
      <c r="G161" s="8" t="n">
        <v>1000</v>
      </c>
      <c r="H161" s="10" t="n">
        <v/>
      </c>
      <c r="I161" s="8" t="n"/>
      <c r="J161" s="10" t="inlineStr">
        <is>
          <t>Satin</t>
        </is>
      </c>
      <c r="K161" s="11" t="n">
        <v>3435.11</v>
      </c>
      <c r="L161" s="11" t="n"/>
      <c r="M161" s="9" t="n"/>
      <c r="N161" s="10" t="inlineStr">
        <is>
          <t>unmatched</t>
        </is>
      </c>
    </row>
    <row r="162">
      <c r="A162" s="10" t="inlineStr">
        <is>
          <t>1000-4999</t>
        </is>
      </c>
      <c r="B162" s="8" t="n">
        <v>223864</v>
      </c>
      <c r="C162" s="10" t="inlineStr">
        <is>
          <t>CS-260803-133009</t>
        </is>
      </c>
      <c r="D162" s="10" t="inlineStr">
        <is>
          <t>Skybox Packaging, LLC</t>
        </is>
      </c>
      <c r="E162" s="10" t="inlineStr">
        <is>
          <t>Targeted Pet Treats - Country Kitchen Promotional Shipper</t>
        </is>
      </c>
      <c r="F162" s="10" t="inlineStr">
        <is>
          <t>Shelf</t>
        </is>
      </c>
      <c r="G162" s="8" t="n">
        <v>2000</v>
      </c>
      <c r="H162" s="10" t="n">
        <v/>
      </c>
      <c r="I162" s="8" t="n"/>
      <c r="J162" s="10" t="inlineStr">
        <is>
          <t>Satin</t>
        </is>
      </c>
      <c r="K162" s="11" t="n">
        <v>29363.46</v>
      </c>
      <c r="L162" s="11" t="n"/>
      <c r="M162" s="9" t="n"/>
      <c r="N162" s="10" t="inlineStr">
        <is>
          <t>unmatched</t>
        </is>
      </c>
    </row>
    <row r="163">
      <c r="A163" s="10" t="inlineStr">
        <is>
          <t>1000-4999</t>
        </is>
      </c>
      <c r="B163" s="8" t="n">
        <v>223864</v>
      </c>
      <c r="C163" s="10" t="inlineStr">
        <is>
          <t>CS-260803-133009</t>
        </is>
      </c>
      <c r="D163" s="10" t="inlineStr">
        <is>
          <t>Skybox Packaging, LLC</t>
        </is>
      </c>
      <c r="E163" s="10" t="inlineStr">
        <is>
          <t>Targeted Pet Treats - Country Kitchen Promotional Shipper</t>
        </is>
      </c>
      <c r="F163" s="10" t="inlineStr">
        <is>
          <t>Tray (2-up)</t>
        </is>
      </c>
      <c r="G163" s="8" t="n">
        <v>2000</v>
      </c>
      <c r="H163" s="10" t="n">
        <v/>
      </c>
      <c r="I163" s="8" t="n"/>
      <c r="J163" s="10" t="inlineStr">
        <is>
          <t>Satin</t>
        </is>
      </c>
      <c r="K163" s="11" t="n">
        <v>6204.85</v>
      </c>
      <c r="L163" s="11" t="n"/>
      <c r="M163" s="9" t="n"/>
      <c r="N163" s="10" t="inlineStr">
        <is>
          <t>unmatched</t>
        </is>
      </c>
    </row>
    <row r="164">
      <c r="A164" s="10" t="inlineStr">
        <is>
          <t>1000-4999</t>
        </is>
      </c>
      <c r="B164" s="8" t="n">
        <v>222515</v>
      </c>
      <c r="C164" s="10" t="inlineStr">
        <is>
          <t>RW-260806-104713</t>
        </is>
      </c>
      <c r="D164" s="10" t="inlineStr">
        <is>
          <t>Weber Display &amp; Packaging</t>
        </is>
      </c>
      <c r="E164" s="10" t="inlineStr">
        <is>
          <t>36ct Tray Stack Floorstand - Riser</t>
        </is>
      </c>
      <c r="F164" s="10" t="inlineStr">
        <is>
          <t>Riser</t>
        </is>
      </c>
      <c r="G164" s="8" t="n">
        <v>2000</v>
      </c>
      <c r="H164" s="10" t="inlineStr">
        <is>
          <t>Riser</t>
        </is>
      </c>
      <c r="I164" s="8" t="n">
        <v>2000</v>
      </c>
      <c r="J164" s="10" t="inlineStr">
        <is>
          <t>Gloss</t>
        </is>
      </c>
      <c r="K164" s="11" t="n">
        <v>3032.3</v>
      </c>
      <c r="L164" s="11" t="n">
        <v>3113.31</v>
      </c>
      <c r="M164" s="9" t="n">
        <v>-2.602053762715559</v>
      </c>
      <c r="N164" s="10" t="inlineStr">
        <is>
          <t>qty-unique</t>
        </is>
      </c>
    </row>
    <row r="165">
      <c r="A165" s="10" t="inlineStr">
        <is>
          <t>1000-4999</t>
        </is>
      </c>
      <c r="B165" s="8" t="n">
        <v>222085</v>
      </c>
      <c r="C165" s="10" t="inlineStr">
        <is>
          <t>SA-260624-102657</t>
        </is>
      </c>
      <c r="D165" s="10" t="n">
        <v/>
      </c>
      <c r="E165" s="10" t="inlineStr">
        <is>
          <t>STRAT PRO BUTTERMELT PDQ - 2nd Grouping</t>
        </is>
      </c>
      <c r="F165" s="10" t="inlineStr">
        <is>
          <t>D/C Tray - litho counter unit tray (digital direct print)</t>
        </is>
      </c>
      <c r="G165" s="8" t="n">
        <v>2000</v>
      </c>
      <c r="H165" s="10" t="n">
        <v/>
      </c>
      <c r="I165" s="8" t="n"/>
      <c r="J165" s="10" t="inlineStr">
        <is>
          <t>Satin</t>
        </is>
      </c>
      <c r="K165" s="11" t="n">
        <v>6126.25</v>
      </c>
      <c r="L165" s="11" t="n"/>
      <c r="M165" s="9" t="n"/>
      <c r="N165" s="10" t="inlineStr">
        <is>
          <t>unmatched</t>
        </is>
      </c>
    </row>
    <row r="166">
      <c r="A166" s="10" t="inlineStr">
        <is>
          <t>1000-4999</t>
        </is>
      </c>
      <c r="B166" s="8" t="n">
        <v>222220</v>
      </c>
      <c r="C166" s="10" t="inlineStr">
        <is>
          <t>RW-260807-152915</t>
        </is>
      </c>
      <c r="D166" s="10" t="n">
        <v/>
      </c>
      <c r="E166" s="10" t="inlineStr">
        <is>
          <t xml:space="preserve">Savant GE </t>
        </is>
      </c>
      <c r="F166" s="10" t="inlineStr">
        <is>
          <t>DL-61140</t>
        </is>
      </c>
      <c r="G166" s="8" t="n">
        <v>1500</v>
      </c>
      <c r="H166" s="10" t="n">
        <v/>
      </c>
      <c r="I166" s="8" t="n"/>
      <c r="J166" s="10" t="inlineStr">
        <is>
          <t>Satin</t>
        </is>
      </c>
      <c r="K166" s="11" t="n">
        <v>1837.44</v>
      </c>
      <c r="L166" s="11" t="n"/>
      <c r="M166" s="9" t="n"/>
      <c r="N166" s="10" t="inlineStr">
        <is>
          <t>no-iq-rows</t>
        </is>
      </c>
    </row>
    <row r="167">
      <c r="A167" s="10" t="inlineStr">
        <is>
          <t>1000-4999</t>
        </is>
      </c>
      <c r="B167" s="8" t="n">
        <v>223596</v>
      </c>
      <c r="C167" s="10" t="inlineStr">
        <is>
          <t>BM-260817-100141</t>
        </is>
      </c>
      <c r="D167" s="10" t="n">
        <v/>
      </c>
      <c r="E167" s="10" t="inlineStr">
        <is>
          <t>Scotts Co. Pallet Bands - Vigiro Fertilizer - DS5994 CAD# 3790192901-1</t>
        </is>
      </c>
      <c r="F167" s="10" t="inlineStr">
        <is>
          <t>Pallet Band</t>
        </is>
      </c>
      <c r="G167" s="8" t="n">
        <v>1500</v>
      </c>
      <c r="H167" s="10" t="n">
        <v/>
      </c>
      <c r="I167" s="8" t="n"/>
      <c r="J167" s="10" t="inlineStr">
        <is>
          <t>Satin</t>
        </is>
      </c>
      <c r="K167" s="11" t="n">
        <v>6422.56</v>
      </c>
      <c r="L167" s="11" t="n"/>
      <c r="M167" s="9" t="n"/>
      <c r="N167" s="10" t="inlineStr">
        <is>
          <t>unmatched</t>
        </is>
      </c>
    </row>
  </sheetData>
  <autoFilter ref="A4:N167"/>
  <mergeCells count="2"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5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26" customWidth="1" min="4" max="4"/>
    <col width="38" customWidth="1" min="5" max="5"/>
    <col width="26" customWidth="1" min="6" max="6"/>
    <col width="10" customWidth="1" min="7" max="7"/>
    <col width="26" customWidth="1" min="8" max="8"/>
    <col width="10" customWidth="1" min="9" max="9"/>
    <col width="14" customWidth="1" min="10" max="10"/>
    <col width="16" customWidth="1" min="11" max="11"/>
    <col width="16" customWidth="1" min="12" max="12"/>
    <col width="14" customWidth="1" min="13" max="13"/>
    <col width="20" customWidth="1" min="14" max="14"/>
  </cols>
  <sheetData>
    <row r="1">
      <c r="A1" s="1" t="inlineStr">
        <is>
          <t>Print+Cut+Fin List — Component List (v2, corrected join)</t>
        </is>
      </c>
    </row>
    <row r="2">
      <c r="A2" s="2" t="inlineStr">
        <is>
          <t>Rows are components. Match Method shows how each SPOT row was paired to iQuote.</t>
        </is>
      </c>
    </row>
    <row r="4">
      <c r="A4" s="6" t="inlineStr">
        <is>
          <t>Qty Band</t>
        </is>
      </c>
      <c r="B4" s="6" t="inlineStr">
        <is>
          <t>iQuote Estimate #</t>
        </is>
      </c>
      <c r="C4" s="6" t="inlineStr">
        <is>
          <t>SPOT Estimate #</t>
        </is>
      </c>
      <c r="D4" s="6" t="inlineStr">
        <is>
          <t>Customer</t>
        </is>
      </c>
      <c r="E4" s="6" t="inlineStr">
        <is>
          <t>Project Name</t>
        </is>
      </c>
      <c r="F4" s="6" t="inlineStr">
        <is>
          <t>SPOT Component</t>
        </is>
      </c>
      <c r="G4" s="6" t="inlineStr">
        <is>
          <t>Qty</t>
        </is>
      </c>
      <c r="H4" s="6" t="inlineStr">
        <is>
          <t>iQuote Product</t>
        </is>
      </c>
      <c r="I4" s="6" t="inlineStr">
        <is>
          <t>iQuote Qty</t>
        </is>
      </c>
      <c r="J4" s="6" t="inlineStr">
        <is>
          <t>Print Mode</t>
        </is>
      </c>
      <c r="K4" s="6" t="inlineStr">
        <is>
          <t>SPOT Sell Total</t>
        </is>
      </c>
      <c r="L4" s="6" t="inlineStr">
        <is>
          <t>iQuote Total</t>
        </is>
      </c>
      <c r="M4" s="6" t="inlineStr">
        <is>
          <t>Variance %</t>
        </is>
      </c>
      <c r="N4" s="6" t="inlineStr">
        <is>
          <t>Match Method</t>
        </is>
      </c>
    </row>
    <row r="5">
      <c r="A5" s="10" t="inlineStr">
        <is>
          <t>1-49</t>
        </is>
      </c>
      <c r="B5" s="8" t="n">
        <v>222777</v>
      </c>
      <c r="C5" s="10" t="inlineStr">
        <is>
          <t>RW-260806-134431</t>
        </is>
      </c>
      <c r="D5" s="10" t="inlineStr">
        <is>
          <t>Apex Display Group</t>
        </is>
      </c>
      <c r="E5" s="10" t="inlineStr">
        <is>
          <t>1528-31 4 Shelf Hutch Clipped Mockup</t>
        </is>
      </c>
      <c r="F5" s="10" t="inlineStr">
        <is>
          <t>Hutch</t>
        </is>
      </c>
      <c r="G5" s="8" t="n">
        <v>2</v>
      </c>
      <c r="H5" s="10" t="inlineStr">
        <is>
          <t>Hutch</t>
        </is>
      </c>
      <c r="I5" s="8" t="n">
        <v>2</v>
      </c>
      <c r="J5" s="10" t="inlineStr">
        <is>
          <t>Gloss</t>
        </is>
      </c>
      <c r="K5" s="11" t="n">
        <v>402.71</v>
      </c>
      <c r="L5" s="11" t="n">
        <v>331.35</v>
      </c>
      <c r="M5" s="9" t="n">
        <v>21.53614003319751</v>
      </c>
      <c r="N5" s="10" t="inlineStr">
        <is>
          <t>qty-tie+name(1.00)</t>
        </is>
      </c>
    </row>
    <row r="6">
      <c r="A6" s="10" t="inlineStr">
        <is>
          <t>1-49</t>
        </is>
      </c>
      <c r="B6" s="8" t="n">
        <v>222777</v>
      </c>
      <c r="C6" s="10" t="inlineStr">
        <is>
          <t>RW-260806-134431</t>
        </is>
      </c>
      <c r="D6" s="10" t="inlineStr">
        <is>
          <t>Apex Display Group</t>
        </is>
      </c>
      <c r="E6" s="10" t="inlineStr">
        <is>
          <t>1528-31 4 Shelf Hutch Clipped Mockup</t>
        </is>
      </c>
      <c r="F6" s="10" t="inlineStr">
        <is>
          <t>Shelf</t>
        </is>
      </c>
      <c r="G6" s="8" t="n">
        <v>2</v>
      </c>
      <c r="H6" s="10" t="inlineStr">
        <is>
          <t xml:space="preserve">Shelf </t>
        </is>
      </c>
      <c r="I6" s="8" t="n">
        <v>2</v>
      </c>
      <c r="J6" s="10" t="inlineStr">
        <is>
          <t>Gloss</t>
        </is>
      </c>
      <c r="K6" s="11" t="n">
        <v>408.89</v>
      </c>
      <c r="L6" s="11" t="n">
        <v>351.35</v>
      </c>
      <c r="M6" s="9" t="n">
        <v>16.37683221858545</v>
      </c>
      <c r="N6" s="10" t="inlineStr">
        <is>
          <t>qty-tie+name(1.00)</t>
        </is>
      </c>
    </row>
    <row r="7">
      <c r="A7" s="10" t="inlineStr">
        <is>
          <t>1-49</t>
        </is>
      </c>
      <c r="B7" s="8" t="n">
        <v>222809</v>
      </c>
      <c r="C7" s="10" t="inlineStr">
        <is>
          <t>RW-260806-155449</t>
        </is>
      </c>
      <c r="D7" s="10" t="inlineStr">
        <is>
          <t>Apex Display Group</t>
        </is>
      </c>
      <c r="E7" s="10" t="inlineStr">
        <is>
          <t>RFQ #2370-22 mockup - 36ct Mayonnaise Drop Down Hutch</t>
        </is>
      </c>
      <c r="F7" s="10" t="inlineStr">
        <is>
          <t>Hutch (1pc, 3-shelf drop-down)</t>
        </is>
      </c>
      <c r="G7" s="8" t="n">
        <v>1</v>
      </c>
      <c r="H7" s="10" t="n">
        <v/>
      </c>
      <c r="I7" s="8" t="n"/>
      <c r="J7" s="10" t="inlineStr">
        <is>
          <t>Gloss</t>
        </is>
      </c>
      <c r="K7" s="11" t="n">
        <v>366.21</v>
      </c>
      <c r="L7" s="11" t="n"/>
      <c r="M7" s="9" t="n"/>
      <c r="N7" s="10" t="inlineStr">
        <is>
          <t>unmatched</t>
        </is>
      </c>
    </row>
    <row r="8">
      <c r="A8" s="10" t="inlineStr">
        <is>
          <t>1-49</t>
        </is>
      </c>
      <c r="B8" s="8" t="n">
        <v>222809</v>
      </c>
      <c r="C8" s="10" t="inlineStr">
        <is>
          <t>RW-260806-155449</t>
        </is>
      </c>
      <c r="D8" s="10" t="inlineStr">
        <is>
          <t>Apex Display Group</t>
        </is>
      </c>
      <c r="E8" s="10" t="inlineStr">
        <is>
          <t>RFQ #2370-22 mockup - 36ct Mayonnaise Drop Down Hutch</t>
        </is>
      </c>
      <c r="F8" s="10" t="inlineStr">
        <is>
          <t>HSC Carton (top-flap, glued) — plain</t>
        </is>
      </c>
      <c r="G8" s="8" t="n">
        <v>1</v>
      </c>
      <c r="H8" s="10" t="n">
        <v/>
      </c>
      <c r="I8" s="8" t="n"/>
      <c r="J8" s="10" t="n"/>
      <c r="K8" s="11" t="n">
        <v>104</v>
      </c>
      <c r="L8" s="11" t="n"/>
      <c r="M8" s="9" t="n"/>
      <c r="N8" s="10" t="inlineStr">
        <is>
          <t>unmatched</t>
        </is>
      </c>
    </row>
    <row r="9">
      <c r="A9" s="10" t="inlineStr">
        <is>
          <t>1-49</t>
        </is>
      </c>
      <c r="B9" s="8" t="n">
        <v>222809</v>
      </c>
      <c r="C9" s="10" t="inlineStr">
        <is>
          <t>RW-260806-155449</t>
        </is>
      </c>
      <c r="D9" s="10" t="inlineStr">
        <is>
          <t>Apex Display Group</t>
        </is>
      </c>
      <c r="E9" s="10" t="inlineStr">
        <is>
          <t>RFQ #2370-22 mockup - 36ct Mayonnaise Drop Down Hutch</t>
        </is>
      </c>
      <c r="F9" s="10" t="inlineStr">
        <is>
          <t>Outer Carton — RSC 14.5 x 10.5 x 44.75, ECT 32 C Kraft/Kraft, glued, plain</t>
        </is>
      </c>
      <c r="G9" s="8" t="n">
        <v>1</v>
      </c>
      <c r="H9" s="10" t="n">
        <v/>
      </c>
      <c r="I9" s="8" t="n"/>
      <c r="J9" s="10" t="n"/>
      <c r="K9" s="11" t="n">
        <v>103.51</v>
      </c>
      <c r="L9" s="11" t="n"/>
      <c r="M9" s="9" t="n"/>
      <c r="N9" s="10" t="inlineStr">
        <is>
          <t>unmatched</t>
        </is>
      </c>
    </row>
    <row r="10">
      <c r="A10" s="10" t="inlineStr">
        <is>
          <t>1-49</t>
        </is>
      </c>
      <c r="B10" s="8" t="n">
        <v>223651</v>
      </c>
      <c r="C10" s="10" t="inlineStr">
        <is>
          <t>RW-260724-113737</t>
        </is>
      </c>
      <c r="D10" s="10" t="inlineStr">
        <is>
          <t>Apex Display Group</t>
        </is>
      </c>
      <c r="E10" s="10" t="inlineStr">
        <is>
          <t>0904-219 Center Joint</t>
        </is>
      </c>
      <c r="F10" s="10" t="inlineStr">
        <is>
          <t>D/C Joined</t>
        </is>
      </c>
      <c r="G10" s="8" t="n">
        <v>22</v>
      </c>
      <c r="H10" s="10" t="inlineStr">
        <is>
          <t>Set</t>
        </is>
      </c>
      <c r="I10" s="8" t="n">
        <v>22</v>
      </c>
      <c r="J10" s="10" t="n"/>
      <c r="K10" s="11" t="n">
        <v>132.39</v>
      </c>
      <c r="L10" s="11" t="n">
        <v>130.54</v>
      </c>
      <c r="M10" s="9" t="n">
        <v>1.417190133292473</v>
      </c>
      <c r="N10" s="10" t="inlineStr">
        <is>
          <t>qty-unique</t>
        </is>
      </c>
    </row>
    <row r="11">
      <c r="A11" s="10" t="inlineStr">
        <is>
          <t>1-49</t>
        </is>
      </c>
      <c r="B11" s="8" t="n">
        <v>223209</v>
      </c>
      <c r="C11" s="10" t="inlineStr">
        <is>
          <t>RW-260727-080830</t>
        </is>
      </c>
      <c r="D11" s="10" t="inlineStr">
        <is>
          <t>Compass Packaging</t>
        </is>
      </c>
      <c r="E11" s="10" t="inlineStr">
        <is>
          <t>ACE HARDWARE 42 GAL TRASH BIN (REV)</t>
        </is>
      </c>
      <c r="F11" s="10" t="inlineStr">
        <is>
          <t>RSC</t>
        </is>
      </c>
      <c r="G11" s="8" t="n">
        <v>1</v>
      </c>
      <c r="H11" s="10" t="inlineStr">
        <is>
          <t>Trash Bin</t>
        </is>
      </c>
      <c r="I11" s="8" t="n">
        <v>1</v>
      </c>
      <c r="J11" s="10" t="inlineStr">
        <is>
          <t>Satin</t>
        </is>
      </c>
      <c r="K11" s="11" t="n">
        <v>453.63</v>
      </c>
      <c r="L11" s="11" t="n">
        <v>241.9</v>
      </c>
      <c r="M11" s="9" t="n">
        <v>87.52790409260024</v>
      </c>
      <c r="N11" s="10" t="inlineStr">
        <is>
          <t>qty-unique</t>
        </is>
      </c>
    </row>
    <row r="12">
      <c r="A12" s="10" t="inlineStr">
        <is>
          <t>1-49</t>
        </is>
      </c>
      <c r="B12" s="8" t="n">
        <v>222935</v>
      </c>
      <c r="C12" s="10" t="inlineStr">
        <is>
          <t>RW-260806-161257</t>
        </is>
      </c>
      <c r="D12" s="10" t="inlineStr">
        <is>
          <t>International Paper Retail Pkg &amp; Display</t>
        </is>
      </c>
      <c r="E12" s="10" t="inlineStr">
        <is>
          <t>Proj# 26342 &amp; 26530 / PO 090259-00</t>
        </is>
      </c>
      <c r="F12" s="10" t="inlineStr">
        <is>
          <t>QP Wedge Header — Job 26530 (BDICR65781)</t>
        </is>
      </c>
      <c r="G12" s="8" t="n">
        <v>15</v>
      </c>
      <c r="H12" s="10" t="inlineStr">
        <is>
          <t>Tray</t>
        </is>
      </c>
      <c r="I12" s="8" t="n">
        <v>15</v>
      </c>
      <c r="J12" s="10" t="inlineStr">
        <is>
          <t>Satin</t>
        </is>
      </c>
      <c r="K12" s="11" t="n">
        <v>600.15</v>
      </c>
      <c r="L12" s="11" t="n">
        <v>440.16</v>
      </c>
      <c r="M12" s="9" t="n">
        <v>36.34814612868047</v>
      </c>
      <c r="N12" s="10" t="inlineStr">
        <is>
          <t>qty-unique</t>
        </is>
      </c>
    </row>
    <row r="13">
      <c r="A13" s="10" t="inlineStr">
        <is>
          <t>1-49</t>
        </is>
      </c>
      <c r="B13" s="8" t="n">
        <v>222935</v>
      </c>
      <c r="C13" s="10" t="inlineStr">
        <is>
          <t>RW-260806-161257</t>
        </is>
      </c>
      <c r="D13" s="10" t="inlineStr">
        <is>
          <t>International Paper Retail Pkg &amp; Display</t>
        </is>
      </c>
      <c r="E13" s="10" t="inlineStr">
        <is>
          <t>Proj# 26342 &amp; 26530 / PO 090259-00</t>
        </is>
      </c>
      <c r="F13" s="10" t="inlineStr">
        <is>
          <t>QP Wedge Header — Job 26342 (BDICR65751)</t>
        </is>
      </c>
      <c r="G13" s="8" t="n">
        <v>15</v>
      </c>
      <c r="H13" s="10" t="n">
        <v/>
      </c>
      <c r="I13" s="8" t="n"/>
      <c r="J13" s="10" t="inlineStr">
        <is>
          <t>Satin</t>
        </is>
      </c>
      <c r="K13" s="11" t="n">
        <v>600.15</v>
      </c>
      <c r="L13" s="11" t="n"/>
      <c r="M13" s="9" t="n"/>
      <c r="N13" s="10" t="inlineStr">
        <is>
          <t>unmatched</t>
        </is>
      </c>
    </row>
    <row r="14">
      <c r="A14" s="10" t="inlineStr">
        <is>
          <t>1-49</t>
        </is>
      </c>
      <c r="B14" s="8" t="n">
        <v>222972</v>
      </c>
      <c r="C14" s="10" t="inlineStr">
        <is>
          <t>RW-260807-081531</t>
        </is>
      </c>
      <c r="D14" s="10" t="inlineStr">
        <is>
          <t>International Paper Retail Pkg &amp; Display</t>
        </is>
      </c>
      <c r="E14" s="10" t="inlineStr">
        <is>
          <t>Project #26342</t>
        </is>
      </c>
      <c r="F14" s="10" t="inlineStr">
        <is>
          <t>Stacker Wrap</t>
        </is>
      </c>
      <c r="G14" s="8" t="n">
        <v>3</v>
      </c>
      <c r="H14" s="10" t="inlineStr">
        <is>
          <t>CT399901 - Stacker Wrap</t>
        </is>
      </c>
      <c r="I14" s="8" t="n">
        <v>3</v>
      </c>
      <c r="J14" s="10" t="inlineStr">
        <is>
          <t>Satin</t>
        </is>
      </c>
      <c r="K14" s="11" t="n">
        <v>824.59</v>
      </c>
      <c r="L14" s="11" t="n">
        <v>753.0599999999999</v>
      </c>
      <c r="M14" s="9" t="n">
        <v>9.498579130480984</v>
      </c>
      <c r="N14" s="10" t="inlineStr">
        <is>
          <t>qty-unique</t>
        </is>
      </c>
    </row>
    <row r="15">
      <c r="A15" s="10" t="inlineStr">
        <is>
          <t>1-49</t>
        </is>
      </c>
      <c r="B15" s="8" t="n">
        <v>222972</v>
      </c>
      <c r="C15" s="10" t="inlineStr">
        <is>
          <t>RW-260807-081531</t>
        </is>
      </c>
      <c r="D15" s="10" t="inlineStr">
        <is>
          <t>International Paper Retail Pkg &amp; Display</t>
        </is>
      </c>
      <c r="E15" s="10" t="inlineStr">
        <is>
          <t>Project #26342</t>
        </is>
      </c>
      <c r="F15" s="10" t="inlineStr">
        <is>
          <t>Stacker Wrap</t>
        </is>
      </c>
      <c r="G15" s="8" t="n">
        <v>6</v>
      </c>
      <c r="H15" s="10" t="inlineStr">
        <is>
          <t>CT399901 - Stacker Wrap</t>
        </is>
      </c>
      <c r="I15" s="8" t="n">
        <v>6</v>
      </c>
      <c r="J15" s="10" t="inlineStr">
        <is>
          <t>Satin</t>
        </is>
      </c>
      <c r="K15" s="11" t="n">
        <v>995.4</v>
      </c>
      <c r="L15" s="11" t="n">
        <v>825.3</v>
      </c>
      <c r="M15" s="9" t="n">
        <v>20.61068702290077</v>
      </c>
      <c r="N15" s="10" t="inlineStr">
        <is>
          <t>qty-unique</t>
        </is>
      </c>
    </row>
    <row r="16">
      <c r="A16" s="10" t="inlineStr">
        <is>
          <t>1-49</t>
        </is>
      </c>
      <c r="B16" s="8" t="n">
        <v>222972</v>
      </c>
      <c r="C16" s="10" t="inlineStr">
        <is>
          <t>RW-260807-081531</t>
        </is>
      </c>
      <c r="D16" s="10" t="inlineStr">
        <is>
          <t>International Paper Retail Pkg &amp; Display</t>
        </is>
      </c>
      <c r="E16" s="10" t="inlineStr">
        <is>
          <t>Project #26342</t>
        </is>
      </c>
      <c r="F16" s="10" t="inlineStr">
        <is>
          <t>Stacker Wrap</t>
        </is>
      </c>
      <c r="G16" s="8" t="n">
        <v>10</v>
      </c>
      <c r="H16" s="10" t="inlineStr">
        <is>
          <t>CT399901 - Stacker Wrap</t>
        </is>
      </c>
      <c r="I16" s="8" t="n">
        <v>10</v>
      </c>
      <c r="J16" s="10" t="inlineStr">
        <is>
          <t>Satin</t>
        </is>
      </c>
      <c r="K16" s="11" t="n">
        <v>1223.14</v>
      </c>
      <c r="L16" s="11" t="n">
        <v>921.62</v>
      </c>
      <c r="M16" s="9" t="n">
        <v>32.71630389965496</v>
      </c>
      <c r="N16" s="10" t="inlineStr">
        <is>
          <t>qty-unique</t>
        </is>
      </c>
    </row>
    <row r="17">
      <c r="A17" s="10" t="inlineStr">
        <is>
          <t>1-49</t>
        </is>
      </c>
      <c r="B17" s="8" t="n">
        <v>223065</v>
      </c>
      <c r="C17" s="10" t="inlineStr">
        <is>
          <t>RW-260807-082738</t>
        </is>
      </c>
      <c r="D17" s="10" t="inlineStr">
        <is>
          <t>International Paper Retail Pkg &amp; Display</t>
        </is>
      </c>
      <c r="E17" s="10" t="inlineStr">
        <is>
          <t>DWGCU150HP (HD GC Under $150 HP)</t>
        </is>
      </c>
      <c r="F17" s="10" t="inlineStr">
        <is>
          <t>HP Wedge Header A</t>
        </is>
      </c>
      <c r="G17" s="8" t="n">
        <v>6</v>
      </c>
      <c r="H17" s="10" t="inlineStr">
        <is>
          <t>Wedge Header A</t>
        </is>
      </c>
      <c r="I17" s="8" t="n">
        <v>3</v>
      </c>
      <c r="J17" s="10" t="n"/>
      <c r="K17" s="11" t="n">
        <v>107.65</v>
      </c>
      <c r="L17" s="11" t="n">
        <v>298.1</v>
      </c>
      <c r="M17" s="9" t="n">
        <v>-63.8879570613888</v>
      </c>
      <c r="N17" s="10" t="inlineStr">
        <is>
          <t>name(0.90)</t>
        </is>
      </c>
    </row>
    <row r="18">
      <c r="A18" s="10" t="inlineStr">
        <is>
          <t>1-49</t>
        </is>
      </c>
      <c r="B18" s="8" t="n">
        <v>223065</v>
      </c>
      <c r="C18" s="10" t="inlineStr">
        <is>
          <t>RW-260807-082738</t>
        </is>
      </c>
      <c r="D18" s="10" t="inlineStr">
        <is>
          <t>International Paper Retail Pkg &amp; Display</t>
        </is>
      </c>
      <c r="E18" s="10" t="inlineStr">
        <is>
          <t>DWGCU150HP (HD GC Under $150 HP)</t>
        </is>
      </c>
      <c r="F18" s="10" t="inlineStr">
        <is>
          <t>Left Side Panel</t>
        </is>
      </c>
      <c r="G18" s="8" t="n">
        <v>6</v>
      </c>
      <c r="H18" s="10" t="inlineStr">
        <is>
          <t>Left Side Panel</t>
        </is>
      </c>
      <c r="I18" s="8" t="n">
        <v>6</v>
      </c>
      <c r="J18" s="10" t="inlineStr">
        <is>
          <t>Satin</t>
        </is>
      </c>
      <c r="K18" s="11" t="n">
        <v>464.18</v>
      </c>
      <c r="L18" s="11" t="n">
        <v>347.02</v>
      </c>
      <c r="M18" s="9" t="n">
        <v>33.76174283902946</v>
      </c>
      <c r="N18" s="10" t="inlineStr">
        <is>
          <t>qty-tie+name(1.00)</t>
        </is>
      </c>
    </row>
    <row r="19">
      <c r="A19" s="10" t="inlineStr">
        <is>
          <t>1-49</t>
        </is>
      </c>
      <c r="B19" s="8" t="n">
        <v>223065</v>
      </c>
      <c r="C19" s="10" t="inlineStr">
        <is>
          <t>RW-260807-082738</t>
        </is>
      </c>
      <c r="D19" s="10" t="inlineStr">
        <is>
          <t>International Paper Retail Pkg &amp; Display</t>
        </is>
      </c>
      <c r="E19" s="10" t="inlineStr">
        <is>
          <t>DWGCU150HP (HD GC Under $150 HP)</t>
        </is>
      </c>
      <c r="F19" s="10" t="inlineStr">
        <is>
          <t>Right Side Panel</t>
        </is>
      </c>
      <c r="G19" s="8" t="n">
        <v>6</v>
      </c>
      <c r="H19" s="10" t="inlineStr">
        <is>
          <t>Right Side Panel</t>
        </is>
      </c>
      <c r="I19" s="8" t="n">
        <v>6</v>
      </c>
      <c r="J19" s="10" t="inlineStr">
        <is>
          <t>Satin</t>
        </is>
      </c>
      <c r="K19" s="11" t="n">
        <v>464.18</v>
      </c>
      <c r="L19" s="11" t="n">
        <v>347.02</v>
      </c>
      <c r="M19" s="9" t="n">
        <v>33.76174283902946</v>
      </c>
      <c r="N19" s="10" t="inlineStr">
        <is>
          <t>qty-tie+name(1.00)</t>
        </is>
      </c>
    </row>
    <row r="20">
      <c r="A20" s="10" t="inlineStr">
        <is>
          <t>1-49</t>
        </is>
      </c>
      <c r="B20" s="8" t="n">
        <v>223065</v>
      </c>
      <c r="C20" s="10" t="inlineStr">
        <is>
          <t>RW-260807-082738</t>
        </is>
      </c>
      <c r="D20" s="10" t="inlineStr">
        <is>
          <t>International Paper Retail Pkg &amp; Display</t>
        </is>
      </c>
      <c r="E20" s="10" t="inlineStr">
        <is>
          <t>DWGCU150HP (HD GC Under $150 HP)</t>
        </is>
      </c>
      <c r="F20" s="10" t="inlineStr">
        <is>
          <t>Shelf</t>
        </is>
      </c>
      <c r="G20" s="8" t="n">
        <v>6</v>
      </c>
      <c r="H20" s="10" t="inlineStr">
        <is>
          <t>Base Tray</t>
        </is>
      </c>
      <c r="I20" s="8" t="n">
        <v>6</v>
      </c>
      <c r="J20" s="10" t="inlineStr">
        <is>
          <t>Satin</t>
        </is>
      </c>
      <c r="K20" s="11" t="n">
        <v>622.6799999999999</v>
      </c>
      <c r="L20" s="11" t="n">
        <v>376.8</v>
      </c>
      <c r="M20" s="9" t="n">
        <v>65.25477707006367</v>
      </c>
      <c r="N20" s="10" t="inlineStr">
        <is>
          <t>qty-unique</t>
        </is>
      </c>
    </row>
    <row r="21">
      <c r="A21" s="10" t="inlineStr">
        <is>
          <t>1-49</t>
        </is>
      </c>
      <c r="B21" s="8" t="n">
        <v>223065</v>
      </c>
      <c r="C21" s="10" t="inlineStr">
        <is>
          <t>RW-260807-082738</t>
        </is>
      </c>
      <c r="D21" s="10" t="inlineStr">
        <is>
          <t>International Paper Retail Pkg &amp; Display</t>
        </is>
      </c>
      <c r="E21" s="10" t="inlineStr">
        <is>
          <t>DWGCU150HP (HD GC Under $150 HP)</t>
        </is>
      </c>
      <c r="F21" s="10" t="inlineStr">
        <is>
          <t>Base Tray</t>
        </is>
      </c>
      <c r="G21" s="8" t="n">
        <v>6</v>
      </c>
      <c r="H21" s="10" t="n">
        <v/>
      </c>
      <c r="I21" s="8" t="n"/>
      <c r="J21" s="10" t="inlineStr">
        <is>
          <t>Satin</t>
        </is>
      </c>
      <c r="K21" s="11" t="n">
        <v>492.95</v>
      </c>
      <c r="L21" s="11" t="n"/>
      <c r="M21" s="9" t="n"/>
      <c r="N21" s="10" t="inlineStr">
        <is>
          <t>unmatched</t>
        </is>
      </c>
    </row>
    <row r="22">
      <c r="A22" s="10" t="inlineStr">
        <is>
          <t>1-49</t>
        </is>
      </c>
      <c r="B22" s="8" t="n">
        <v>223706</v>
      </c>
      <c r="C22" s="10" t="inlineStr">
        <is>
          <t>RW-260717-111921</t>
        </is>
      </c>
      <c r="D22" s="10" t="inlineStr">
        <is>
          <t>Jamestown Container Corp. - Falconer</t>
        </is>
      </c>
      <c r="E22" s="10" t="inlineStr">
        <is>
          <t>Re-Frame Display - Walmart (HOT Prototype)</t>
        </is>
      </c>
      <c r="F22" s="10" t="inlineStr">
        <is>
          <t>Middle Base</t>
        </is>
      </c>
      <c r="G22" s="8" t="n">
        <v>2</v>
      </c>
      <c r="H22" s="10" t="n">
        <v/>
      </c>
      <c r="I22" s="8" t="n"/>
      <c r="J22" s="10" t="inlineStr">
        <is>
          <t>Satin</t>
        </is>
      </c>
      <c r="K22" s="11" t="n">
        <v>490.26</v>
      </c>
      <c r="L22" s="11" t="n"/>
      <c r="M22" s="9" t="n"/>
      <c r="N22" s="10" t="inlineStr">
        <is>
          <t>unmatched</t>
        </is>
      </c>
    </row>
    <row r="23">
      <c r="A23" s="10" t="inlineStr">
        <is>
          <t>1-49</t>
        </is>
      </c>
      <c r="B23" s="8" t="n">
        <v>223706</v>
      </c>
      <c r="C23" s="10" t="inlineStr">
        <is>
          <t>RW-260717-111921</t>
        </is>
      </c>
      <c r="D23" s="10" t="inlineStr">
        <is>
          <t>Jamestown Container Corp. - Falconer</t>
        </is>
      </c>
      <c r="E23" s="10" t="inlineStr">
        <is>
          <t>Re-Frame Display - Walmart (HOT Prototype)</t>
        </is>
      </c>
      <c r="F23" s="10" t="inlineStr">
        <is>
          <t>Columns</t>
        </is>
      </c>
      <c r="G23" s="8" t="n">
        <v>2</v>
      </c>
      <c r="H23" s="10" t="n">
        <v/>
      </c>
      <c r="I23" s="8" t="n"/>
      <c r="J23" s="10" t="inlineStr">
        <is>
          <t>Satin</t>
        </is>
      </c>
      <c r="K23" s="11" t="n">
        <v>547.29</v>
      </c>
      <c r="L23" s="11" t="n"/>
      <c r="M23" s="9" t="n"/>
      <c r="N23" s="10" t="inlineStr">
        <is>
          <t>unmatched</t>
        </is>
      </c>
    </row>
    <row r="24">
      <c r="A24" s="10" t="inlineStr">
        <is>
          <t>1-49</t>
        </is>
      </c>
      <c r="B24" s="8" t="n">
        <v>223127</v>
      </c>
      <c r="C24" s="10" t="inlineStr">
        <is>
          <t>RW-260807-132828</t>
        </is>
      </c>
      <c r="D24" s="10" t="inlineStr">
        <is>
          <t>PCA- New Oxford</t>
        </is>
      </c>
      <c r="E24" s="10" t="inlineStr">
        <is>
          <t xml:space="preserve">G&amp;S Foods 23433 4ct Case Vlasic 85103 </t>
        </is>
      </c>
      <c r="F24" s="10" t="inlineStr">
        <is>
          <t>Pickleball Multipack</t>
        </is>
      </c>
      <c r="G24" s="8" t="n">
        <v>30</v>
      </c>
      <c r="H24" s="10" t="inlineStr">
        <is>
          <t>#2500178964-1 - RSC</t>
        </is>
      </c>
      <c r="I24" s="8" t="n">
        <v>30</v>
      </c>
      <c r="J24" s="10" t="n"/>
      <c r="K24" s="11" t="n">
        <v>2902.85</v>
      </c>
      <c r="L24" s="11" t="n">
        <v>925.77</v>
      </c>
      <c r="M24" s="9" t="n">
        <v>213.5606036056472</v>
      </c>
      <c r="N24" s="10" t="inlineStr">
        <is>
          <t>qty-unique</t>
        </is>
      </c>
    </row>
    <row r="25">
      <c r="A25" s="10" t="inlineStr">
        <is>
          <t>1-49</t>
        </is>
      </c>
      <c r="B25" s="8" t="n">
        <v>223791</v>
      </c>
      <c r="C25" s="10" t="inlineStr">
        <is>
          <t>RW-260723-084853</t>
        </is>
      </c>
      <c r="D25" s="10" t="inlineStr">
        <is>
          <t>PFI Instore</t>
        </is>
      </c>
      <c r="E25" s="10" t="inlineStr">
        <is>
          <t>Concept 100 Valentines Day Display</t>
        </is>
      </c>
      <c r="F25" s="10" t="inlineStr">
        <is>
          <t>Back Panel</t>
        </is>
      </c>
      <c r="G25" s="8" t="n">
        <v>8</v>
      </c>
      <c r="H25" s="10" t="inlineStr">
        <is>
          <t>Back Panel</t>
        </is>
      </c>
      <c r="I25" s="8" t="n">
        <v>8</v>
      </c>
      <c r="J25" s="10" t="inlineStr">
        <is>
          <t>Gloss</t>
        </is>
      </c>
      <c r="K25" s="11" t="n">
        <v>643.88</v>
      </c>
      <c r="L25" s="11" t="n">
        <v>631.99</v>
      </c>
      <c r="M25" s="9" t="n">
        <v>1.881358882260793</v>
      </c>
      <c r="N25" s="10" t="inlineStr">
        <is>
          <t>qty-tie+name(1.00)</t>
        </is>
      </c>
    </row>
    <row r="26">
      <c r="A26" s="10" t="inlineStr">
        <is>
          <t>1-49</t>
        </is>
      </c>
      <c r="B26" s="8" t="n">
        <v>223791</v>
      </c>
      <c r="C26" s="10" t="inlineStr">
        <is>
          <t>RW-260723-084853</t>
        </is>
      </c>
      <c r="D26" s="10" t="inlineStr">
        <is>
          <t>PFI Instore</t>
        </is>
      </c>
      <c r="E26" s="10" t="inlineStr">
        <is>
          <t>Concept 100 Valentines Day Display</t>
        </is>
      </c>
      <c r="F26" s="10" t="inlineStr">
        <is>
          <t>Side Panel</t>
        </is>
      </c>
      <c r="G26" s="8" t="n">
        <v>8</v>
      </c>
      <c r="H26" s="10" t="inlineStr">
        <is>
          <t>Side Panel</t>
        </is>
      </c>
      <c r="I26" s="8" t="n">
        <v>8</v>
      </c>
      <c r="J26" s="10" t="inlineStr">
        <is>
          <t>Gloss</t>
        </is>
      </c>
      <c r="K26" s="11" t="n">
        <v>534.4299999999999</v>
      </c>
      <c r="L26" s="11" t="n">
        <v>494.58</v>
      </c>
      <c r="M26" s="9" t="n">
        <v>8.057341582757079</v>
      </c>
      <c r="N26" s="10" t="inlineStr">
        <is>
          <t>qty-tie+name(1.00)</t>
        </is>
      </c>
    </row>
    <row r="27">
      <c r="A27" s="10" t="inlineStr">
        <is>
          <t>1-49</t>
        </is>
      </c>
      <c r="B27" s="8" t="n">
        <v>223791</v>
      </c>
      <c r="C27" s="10" t="inlineStr">
        <is>
          <t>RW-260723-084853</t>
        </is>
      </c>
      <c r="D27" s="10" t="inlineStr">
        <is>
          <t>PFI Instore</t>
        </is>
      </c>
      <c r="E27" s="10" t="inlineStr">
        <is>
          <t>Concept 100 Valentines Day Display</t>
        </is>
      </c>
      <c r="F27" s="10" t="inlineStr">
        <is>
          <t>Angled Side Panel</t>
        </is>
      </c>
      <c r="G27" s="8" t="n">
        <v>8</v>
      </c>
      <c r="H27" s="10" t="inlineStr">
        <is>
          <t>Angle Side Panel</t>
        </is>
      </c>
      <c r="I27" s="8" t="n">
        <v>8</v>
      </c>
      <c r="J27" s="10" t="inlineStr">
        <is>
          <t>Gloss</t>
        </is>
      </c>
      <c r="K27" s="11" t="n">
        <v>537.29</v>
      </c>
      <c r="L27" s="11" t="n">
        <v>545.5599999999999</v>
      </c>
      <c r="M27" s="9" t="n">
        <v>-1.515873597771094</v>
      </c>
      <c r="N27" s="10" t="inlineStr">
        <is>
          <t>qty-tie+name(0.97)</t>
        </is>
      </c>
    </row>
    <row r="28">
      <c r="A28" s="10" t="inlineStr">
        <is>
          <t>1-49</t>
        </is>
      </c>
      <c r="B28" s="8" t="n">
        <v>223791</v>
      </c>
      <c r="C28" s="10" t="inlineStr">
        <is>
          <t>RW-260723-084853</t>
        </is>
      </c>
      <c r="D28" s="10" t="inlineStr">
        <is>
          <t>PFI Instore</t>
        </is>
      </c>
      <c r="E28" s="10" t="inlineStr">
        <is>
          <t>Concept 100 Valentines Day Display</t>
        </is>
      </c>
      <c r="F28" s="10" t="inlineStr">
        <is>
          <t>Heart Middle Side 1</t>
        </is>
      </c>
      <c r="G28" s="8" t="n">
        <v>8</v>
      </c>
      <c r="H28" s="10" t="inlineStr">
        <is>
          <t>Heart Middle Side 1</t>
        </is>
      </c>
      <c r="I28" s="8" t="n">
        <v>8</v>
      </c>
      <c r="J28" s="10" t="inlineStr">
        <is>
          <t>Gloss</t>
        </is>
      </c>
      <c r="K28" s="11" t="n">
        <v>603.54</v>
      </c>
      <c r="L28" s="11" t="n">
        <v>423.35</v>
      </c>
      <c r="M28" s="9" t="n">
        <v>42.56289122475492</v>
      </c>
      <c r="N28" s="10" t="inlineStr">
        <is>
          <t>qty-tie+name(1.00)</t>
        </is>
      </c>
    </row>
    <row r="29">
      <c r="A29" s="10" t="inlineStr">
        <is>
          <t>1-49</t>
        </is>
      </c>
      <c r="B29" s="8" t="n">
        <v>223791</v>
      </c>
      <c r="C29" s="10" t="inlineStr">
        <is>
          <t>RW-260723-084853</t>
        </is>
      </c>
      <c r="D29" s="10" t="inlineStr">
        <is>
          <t>PFI Instore</t>
        </is>
      </c>
      <c r="E29" s="10" t="inlineStr">
        <is>
          <t>Concept 100 Valentines Day Display</t>
        </is>
      </c>
      <c r="F29" s="10" t="inlineStr">
        <is>
          <t>Heart Middle Side 2</t>
        </is>
      </c>
      <c r="G29" s="8" t="n">
        <v>8</v>
      </c>
      <c r="H29" s="10" t="inlineStr">
        <is>
          <t>Heart Middle Side 2</t>
        </is>
      </c>
      <c r="I29" s="8" t="n">
        <v>8</v>
      </c>
      <c r="J29" s="10" t="inlineStr">
        <is>
          <t>Gloss</t>
        </is>
      </c>
      <c r="K29" s="11" t="n">
        <v>603.67</v>
      </c>
      <c r="L29" s="11" t="n">
        <v>423.45</v>
      </c>
      <c r="M29" s="9" t="n">
        <v>42.55992443027512</v>
      </c>
      <c r="N29" s="10" t="inlineStr">
        <is>
          <t>qty-tie+name(1.00)</t>
        </is>
      </c>
    </row>
    <row r="30">
      <c r="A30" s="10" t="inlineStr">
        <is>
          <t>1-49</t>
        </is>
      </c>
      <c r="B30" s="8" t="n">
        <v>223791</v>
      </c>
      <c r="C30" s="10" t="inlineStr">
        <is>
          <t>RW-260723-084853</t>
        </is>
      </c>
      <c r="D30" s="10" t="inlineStr">
        <is>
          <t>PFI Instore</t>
        </is>
      </c>
      <c r="E30" s="10" t="inlineStr">
        <is>
          <t>Concept 100 Valentines Day Display</t>
        </is>
      </c>
      <c r="F30" s="10" t="inlineStr">
        <is>
          <t>Shelf 1, 4 &amp; Big Heart Lug</t>
        </is>
      </c>
      <c r="G30" s="8" t="n">
        <v>8</v>
      </c>
      <c r="H30" s="10" t="inlineStr">
        <is>
          <t>Shelf 1,4 &amp; Big Heart Lug</t>
        </is>
      </c>
      <c r="I30" s="8" t="n">
        <v>8</v>
      </c>
      <c r="J30" s="10" t="inlineStr">
        <is>
          <t>Gloss</t>
        </is>
      </c>
      <c r="K30" s="11" t="n">
        <v>613.89</v>
      </c>
      <c r="L30" s="11" t="n">
        <v>434.98</v>
      </c>
      <c r="M30" s="9" t="n">
        <v>41.13062669548025</v>
      </c>
      <c r="N30" s="10" t="inlineStr">
        <is>
          <t>qty-tie+name(1.00)</t>
        </is>
      </c>
    </row>
    <row r="31">
      <c r="A31" s="10" t="inlineStr">
        <is>
          <t>1-49</t>
        </is>
      </c>
      <c r="B31" s="8" t="n">
        <v>223791</v>
      </c>
      <c r="C31" s="10" t="inlineStr">
        <is>
          <t>RW-260723-084853</t>
        </is>
      </c>
      <c r="D31" s="10" t="inlineStr">
        <is>
          <t>PFI Instore</t>
        </is>
      </c>
      <c r="E31" s="10" t="inlineStr">
        <is>
          <t>Concept 100 Valentines Day Display</t>
        </is>
      </c>
      <c r="F31" s="10" t="inlineStr">
        <is>
          <t>Shelves 3 &amp; 2</t>
        </is>
      </c>
      <c r="G31" s="8" t="n">
        <v>8</v>
      </c>
      <c r="H31" s="10" t="inlineStr">
        <is>
          <t>Shelves 3 &amp; 2</t>
        </is>
      </c>
      <c r="I31" s="8" t="n">
        <v>8</v>
      </c>
      <c r="J31" s="10" t="inlineStr">
        <is>
          <t>Gloss</t>
        </is>
      </c>
      <c r="K31" s="11" t="n">
        <v>505.72</v>
      </c>
      <c r="L31" s="11" t="n">
        <v>471.09</v>
      </c>
      <c r="M31" s="9" t="n">
        <v>7.351036956844776</v>
      </c>
      <c r="N31" s="10" t="inlineStr">
        <is>
          <t>qty-tie+name(1.00)</t>
        </is>
      </c>
    </row>
    <row r="32">
      <c r="A32" s="10" t="inlineStr">
        <is>
          <t>1-49</t>
        </is>
      </c>
      <c r="B32" s="8" t="n">
        <v>223791</v>
      </c>
      <c r="C32" s="10" t="inlineStr">
        <is>
          <t>RW-260723-084853</t>
        </is>
      </c>
      <c r="D32" s="10" t="inlineStr">
        <is>
          <t>PFI Instore</t>
        </is>
      </c>
      <c r="E32" s="10" t="inlineStr">
        <is>
          <t>Concept 100 Valentines Day Display</t>
        </is>
      </c>
      <c r="F32" s="10" t="inlineStr">
        <is>
          <t>Roll Up 1 &amp; 2</t>
        </is>
      </c>
      <c r="G32" s="8" t="n">
        <v>8</v>
      </c>
      <c r="H32" s="10" t="inlineStr">
        <is>
          <t>Roll Up 1 &amp; 2</t>
        </is>
      </c>
      <c r="I32" s="8" t="n">
        <v>8</v>
      </c>
      <c r="J32" s="10" t="inlineStr">
        <is>
          <t>Gloss</t>
        </is>
      </c>
      <c r="K32" s="11" t="n">
        <v>517.89</v>
      </c>
      <c r="L32" s="11" t="n">
        <v>513.35</v>
      </c>
      <c r="M32" s="9" t="n">
        <v>0.8843868705561437</v>
      </c>
      <c r="N32" s="10" t="inlineStr">
        <is>
          <t>qty-tie+name(1.00)</t>
        </is>
      </c>
    </row>
    <row r="33">
      <c r="A33" s="10" t="inlineStr">
        <is>
          <t>1-49</t>
        </is>
      </c>
      <c r="B33" s="8" t="n">
        <v>223791</v>
      </c>
      <c r="C33" s="10" t="inlineStr">
        <is>
          <t>RW-260723-084853</t>
        </is>
      </c>
      <c r="D33" s="10" t="inlineStr">
        <is>
          <t>PFI Instore</t>
        </is>
      </c>
      <c r="E33" s="10" t="inlineStr">
        <is>
          <t>Concept 100 Valentines Day Display</t>
        </is>
      </c>
      <c r="F33" s="10" t="inlineStr">
        <is>
          <t>Bottom Shelf Eggcrate &amp; 4th Roll Up</t>
        </is>
      </c>
      <c r="G33" s="8" t="n">
        <v>8</v>
      </c>
      <c r="H33" s="10" t="inlineStr">
        <is>
          <t>Bottom Shelf Eggcrate &amp; 4th Roll UP</t>
        </is>
      </c>
      <c r="I33" s="8" t="n">
        <v>8</v>
      </c>
      <c r="J33" s="10" t="inlineStr">
        <is>
          <t>Gloss</t>
        </is>
      </c>
      <c r="K33" s="11" t="n">
        <v>521.99</v>
      </c>
      <c r="L33" s="11" t="n">
        <v>523.29</v>
      </c>
      <c r="M33" s="9" t="n">
        <v>-0.2484282138011341</v>
      </c>
      <c r="N33" s="10" t="inlineStr">
        <is>
          <t>qty-unique</t>
        </is>
      </c>
    </row>
    <row r="34">
      <c r="A34" s="10" t="inlineStr">
        <is>
          <t>1-49</t>
        </is>
      </c>
      <c r="B34" s="8" t="n">
        <v>223791</v>
      </c>
      <c r="C34" s="10" t="inlineStr">
        <is>
          <t>RW-260723-084853</t>
        </is>
      </c>
      <c r="D34" s="10" t="inlineStr">
        <is>
          <t>PFI Instore</t>
        </is>
      </c>
      <c r="E34" s="10" t="inlineStr">
        <is>
          <t>Concept 100 Valentines Day Display</t>
        </is>
      </c>
      <c r="F34" s="10" t="inlineStr">
        <is>
          <t>Back Panel</t>
        </is>
      </c>
      <c r="G34" s="8" t="n">
        <v>15</v>
      </c>
      <c r="H34" s="10" t="inlineStr">
        <is>
          <t>Back Panel</t>
        </is>
      </c>
      <c r="I34" s="8" t="n">
        <v>15</v>
      </c>
      <c r="J34" s="10" t="inlineStr">
        <is>
          <t>Gloss</t>
        </is>
      </c>
      <c r="K34" s="11" t="n">
        <v>873.6</v>
      </c>
      <c r="L34" s="11" t="n">
        <v>787.65</v>
      </c>
      <c r="M34" s="9" t="n">
        <v>10.91220719862884</v>
      </c>
      <c r="N34" s="10" t="inlineStr">
        <is>
          <t>qty-tie+name(1.00)</t>
        </is>
      </c>
    </row>
    <row r="35">
      <c r="A35" s="10" t="inlineStr">
        <is>
          <t>1-49</t>
        </is>
      </c>
      <c r="B35" s="8" t="n">
        <v>223791</v>
      </c>
      <c r="C35" s="10" t="inlineStr">
        <is>
          <t>RW-260723-084853</t>
        </is>
      </c>
      <c r="D35" s="10" t="inlineStr">
        <is>
          <t>PFI Instore</t>
        </is>
      </c>
      <c r="E35" s="10" t="inlineStr">
        <is>
          <t>Concept 100 Valentines Day Display</t>
        </is>
      </c>
      <c r="F35" s="10" t="inlineStr">
        <is>
          <t>Side Panel</t>
        </is>
      </c>
      <c r="G35" s="8" t="n">
        <v>15</v>
      </c>
      <c r="H35" s="10" t="inlineStr">
        <is>
          <t>Side Panel</t>
        </is>
      </c>
      <c r="I35" s="8" t="n">
        <v>15</v>
      </c>
      <c r="J35" s="10" t="inlineStr">
        <is>
          <t>Gloss</t>
        </is>
      </c>
      <c r="K35" s="11" t="n">
        <v>758.72</v>
      </c>
      <c r="L35" s="11" t="n">
        <v>633.99</v>
      </c>
      <c r="M35" s="9" t="n">
        <v>19.67381188977744</v>
      </c>
      <c r="N35" s="10" t="inlineStr">
        <is>
          <t>qty-tie+name(1.00)</t>
        </is>
      </c>
    </row>
    <row r="36">
      <c r="A36" s="10" t="inlineStr">
        <is>
          <t>1-49</t>
        </is>
      </c>
      <c r="B36" s="8" t="n">
        <v>223791</v>
      </c>
      <c r="C36" s="10" t="inlineStr">
        <is>
          <t>RW-260723-084853</t>
        </is>
      </c>
      <c r="D36" s="10" t="inlineStr">
        <is>
          <t>PFI Instore</t>
        </is>
      </c>
      <c r="E36" s="10" t="inlineStr">
        <is>
          <t>Concept 100 Valentines Day Display</t>
        </is>
      </c>
      <c r="F36" s="10" t="inlineStr">
        <is>
          <t>Angled Side Panel</t>
        </is>
      </c>
      <c r="G36" s="8" t="n">
        <v>15</v>
      </c>
      <c r="H36" s="10" t="inlineStr">
        <is>
          <t>Angle Side Panel</t>
        </is>
      </c>
      <c r="I36" s="8" t="n">
        <v>15</v>
      </c>
      <c r="J36" s="10" t="inlineStr">
        <is>
          <t>Gloss</t>
        </is>
      </c>
      <c r="K36" s="11" t="n">
        <v>764.09</v>
      </c>
      <c r="L36" s="11" t="n">
        <v>689.45</v>
      </c>
      <c r="M36" s="9" t="n">
        <v>10.8260207411705</v>
      </c>
      <c r="N36" s="10" t="inlineStr">
        <is>
          <t>qty-tie+name(0.97)</t>
        </is>
      </c>
    </row>
    <row r="37">
      <c r="A37" s="10" t="inlineStr">
        <is>
          <t>1-49</t>
        </is>
      </c>
      <c r="B37" s="8" t="n">
        <v>223791</v>
      </c>
      <c r="C37" s="10" t="inlineStr">
        <is>
          <t>RW-260723-084853</t>
        </is>
      </c>
      <c r="D37" s="10" t="inlineStr">
        <is>
          <t>PFI Instore</t>
        </is>
      </c>
      <c r="E37" s="10" t="inlineStr">
        <is>
          <t>Concept 100 Valentines Day Display</t>
        </is>
      </c>
      <c r="F37" s="10" t="inlineStr">
        <is>
          <t>Heart Middle Side 1</t>
        </is>
      </c>
      <c r="G37" s="8" t="n">
        <v>15</v>
      </c>
      <c r="H37" s="10" t="inlineStr">
        <is>
          <t>Heart Middle Side 1</t>
        </is>
      </c>
      <c r="I37" s="8" t="n">
        <v>15</v>
      </c>
      <c r="J37" s="10" t="inlineStr">
        <is>
          <t>Gloss</t>
        </is>
      </c>
      <c r="K37" s="11" t="n">
        <v>851.4</v>
      </c>
      <c r="L37" s="11" t="n">
        <v>564.36</v>
      </c>
      <c r="M37" s="9" t="n">
        <v>50.86115245587922</v>
      </c>
      <c r="N37" s="10" t="inlineStr">
        <is>
          <t>qty-tie+name(1.00)</t>
        </is>
      </c>
    </row>
    <row r="38">
      <c r="A38" s="10" t="inlineStr">
        <is>
          <t>1-49</t>
        </is>
      </c>
      <c r="B38" s="8" t="n">
        <v>223791</v>
      </c>
      <c r="C38" s="10" t="inlineStr">
        <is>
          <t>RW-260723-084853</t>
        </is>
      </c>
      <c r="D38" s="10" t="inlineStr">
        <is>
          <t>PFI Instore</t>
        </is>
      </c>
      <c r="E38" s="10" t="inlineStr">
        <is>
          <t>Concept 100 Valentines Day Display</t>
        </is>
      </c>
      <c r="F38" s="10" t="inlineStr">
        <is>
          <t>Heart Middle Side 2</t>
        </is>
      </c>
      <c r="G38" s="8" t="n">
        <v>15</v>
      </c>
      <c r="H38" s="10" t="inlineStr">
        <is>
          <t>Heart Middle Side 2</t>
        </is>
      </c>
      <c r="I38" s="8" t="n">
        <v>15</v>
      </c>
      <c r="J38" s="10" t="inlineStr">
        <is>
          <t>Gloss</t>
        </is>
      </c>
      <c r="K38" s="11" t="n">
        <v>851.64</v>
      </c>
      <c r="L38" s="11" t="n">
        <v>564.54</v>
      </c>
      <c r="M38" s="9" t="n">
        <v>50.85556382187269</v>
      </c>
      <c r="N38" s="10" t="inlineStr">
        <is>
          <t>qty-tie+name(1.00)</t>
        </is>
      </c>
    </row>
    <row r="39">
      <c r="A39" s="10" t="inlineStr">
        <is>
          <t>1-49</t>
        </is>
      </c>
      <c r="B39" s="8" t="n">
        <v>223791</v>
      </c>
      <c r="C39" s="10" t="inlineStr">
        <is>
          <t>RW-260723-084853</t>
        </is>
      </c>
      <c r="D39" s="10" t="inlineStr">
        <is>
          <t>PFI Instore</t>
        </is>
      </c>
      <c r="E39" s="10" t="inlineStr">
        <is>
          <t>Concept 100 Valentines Day Display</t>
        </is>
      </c>
      <c r="F39" s="10" t="inlineStr">
        <is>
          <t>Shelf 1, 4 &amp; Big Heart Lug</t>
        </is>
      </c>
      <c r="G39" s="8" t="n">
        <v>15</v>
      </c>
      <c r="H39" s="10" t="inlineStr">
        <is>
          <t>Shelf 1,4 &amp; Big Heart Lug</t>
        </is>
      </c>
      <c r="I39" s="8" t="n">
        <v>15</v>
      </c>
      <c r="J39" s="10" t="inlineStr">
        <is>
          <t>Gloss</t>
        </is>
      </c>
      <c r="K39" s="11" t="n">
        <v>870.8099999999999</v>
      </c>
      <c r="L39" s="11" t="n">
        <v>585.22</v>
      </c>
      <c r="M39" s="9" t="n">
        <v>48.80045111240216</v>
      </c>
      <c r="N39" s="10" t="inlineStr">
        <is>
          <t>qty-tie+name(1.00)</t>
        </is>
      </c>
    </row>
    <row r="40">
      <c r="A40" s="10" t="inlineStr">
        <is>
          <t>1-49</t>
        </is>
      </c>
      <c r="B40" s="8" t="n">
        <v>223791</v>
      </c>
      <c r="C40" s="10" t="inlineStr">
        <is>
          <t>RW-260723-084853</t>
        </is>
      </c>
      <c r="D40" s="10" t="inlineStr">
        <is>
          <t>PFI Instore</t>
        </is>
      </c>
      <c r="E40" s="10" t="inlineStr">
        <is>
          <t>Concept 100 Valentines Day Display</t>
        </is>
      </c>
      <c r="F40" s="10" t="inlineStr">
        <is>
          <t>Shelves 3 &amp; 2</t>
        </is>
      </c>
      <c r="G40" s="8" t="n">
        <v>15</v>
      </c>
      <c r="H40" s="10" t="inlineStr">
        <is>
          <t>Shelves 3 &amp; 2</t>
        </is>
      </c>
      <c r="I40" s="8" t="n">
        <v>15</v>
      </c>
      <c r="J40" s="10" t="inlineStr">
        <is>
          <t>Gloss</t>
        </is>
      </c>
      <c r="K40" s="11" t="n">
        <v>704.88</v>
      </c>
      <c r="L40" s="11" t="n">
        <v>550.75</v>
      </c>
      <c r="M40" s="9" t="n">
        <v>27.98547435315479</v>
      </c>
      <c r="N40" s="10" t="inlineStr">
        <is>
          <t>qty-tie+name(1.00)</t>
        </is>
      </c>
    </row>
    <row r="41">
      <c r="A41" s="10" t="inlineStr">
        <is>
          <t>1-49</t>
        </is>
      </c>
      <c r="B41" s="8" t="n">
        <v>223791</v>
      </c>
      <c r="C41" s="10" t="inlineStr">
        <is>
          <t>RW-260723-084853</t>
        </is>
      </c>
      <c r="D41" s="10" t="inlineStr">
        <is>
          <t>PFI Instore</t>
        </is>
      </c>
      <c r="E41" s="10" t="inlineStr">
        <is>
          <t>Concept 100 Valentines Day Display</t>
        </is>
      </c>
      <c r="F41" s="10" t="inlineStr">
        <is>
          <t>Roll Up 1 &amp; 2</t>
        </is>
      </c>
      <c r="G41" s="8" t="n">
        <v>15</v>
      </c>
      <c r="H41" s="10" t="inlineStr">
        <is>
          <t>Roll Up 1 &amp; 2</t>
        </is>
      </c>
      <c r="I41" s="8" t="n">
        <v>15</v>
      </c>
      <c r="J41" s="10" t="inlineStr">
        <is>
          <t>Gloss</t>
        </is>
      </c>
      <c r="K41" s="11" t="n">
        <v>727.71</v>
      </c>
      <c r="L41" s="11" t="n">
        <v>629.91</v>
      </c>
      <c r="M41" s="9" t="n">
        <v>15.52602752774207</v>
      </c>
      <c r="N41" s="10" t="inlineStr">
        <is>
          <t>qty-tie+name(1.00)</t>
        </is>
      </c>
    </row>
    <row r="42">
      <c r="A42" s="10" t="inlineStr">
        <is>
          <t>1-49</t>
        </is>
      </c>
      <c r="B42" s="8" t="n">
        <v>223791</v>
      </c>
      <c r="C42" s="10" t="inlineStr">
        <is>
          <t>RW-260723-084853</t>
        </is>
      </c>
      <c r="D42" s="10" t="inlineStr">
        <is>
          <t>PFI Instore</t>
        </is>
      </c>
      <c r="E42" s="10" t="inlineStr">
        <is>
          <t>Concept 100 Valentines Day Display</t>
        </is>
      </c>
      <c r="F42" s="10" t="inlineStr">
        <is>
          <t>Bottom Shelf Eggcrate &amp; 4th Roll Up</t>
        </is>
      </c>
      <c r="G42" s="8" t="n">
        <v>15</v>
      </c>
      <c r="H42" s="10" t="inlineStr">
        <is>
          <t>Bottom Shelf Eggcrate &amp; 4th Roll UP</t>
        </is>
      </c>
      <c r="I42" s="8" t="n">
        <v>15</v>
      </c>
      <c r="J42" s="10" t="inlineStr">
        <is>
          <t>Gloss</t>
        </is>
      </c>
      <c r="K42" s="11" t="n">
        <v>735.4</v>
      </c>
      <c r="L42" s="11" t="n">
        <v>647.64</v>
      </c>
      <c r="M42" s="9" t="n">
        <v>13.55073806435674</v>
      </c>
      <c r="N42" s="10" t="inlineStr">
        <is>
          <t>qty-unique</t>
        </is>
      </c>
    </row>
    <row r="43">
      <c r="A43" s="10" t="inlineStr">
        <is>
          <t>1-49</t>
        </is>
      </c>
      <c r="B43" s="8" t="n">
        <v>223784</v>
      </c>
      <c r="C43" s="10" t="inlineStr">
        <is>
          <t>RW-260730-154720</t>
        </is>
      </c>
      <c r="D43" s="10" t="inlineStr">
        <is>
          <t>Skybox Packaging, LLC</t>
        </is>
      </c>
      <c r="E43" s="10" t="inlineStr">
        <is>
          <t>Case# 00011159 - REVISED - Targeted Pet Treats Shelf Display</t>
        </is>
      </c>
      <c r="F43" s="10" t="inlineStr">
        <is>
          <t>Shelf Display Box — Blue (MRO42966 RevA)</t>
        </is>
      </c>
      <c r="G43" s="8" t="n">
        <v>1</v>
      </c>
      <c r="H43" s="10" t="n">
        <v/>
      </c>
      <c r="I43" s="8" t="n"/>
      <c r="J43" s="10" t="inlineStr">
        <is>
          <t>Gloss</t>
        </is>
      </c>
      <c r="K43" s="11" t="n">
        <v>311.78</v>
      </c>
      <c r="L43" s="11" t="n"/>
      <c r="M43" s="9" t="n"/>
      <c r="N43" s="10" t="inlineStr">
        <is>
          <t>unmatched</t>
        </is>
      </c>
    </row>
    <row r="44">
      <c r="A44" s="10" t="inlineStr">
        <is>
          <t>1-49</t>
        </is>
      </c>
      <c r="B44" s="8" t="n">
        <v>223784</v>
      </c>
      <c r="C44" s="10" t="inlineStr">
        <is>
          <t>RW-260730-154720</t>
        </is>
      </c>
      <c r="D44" s="10" t="inlineStr">
        <is>
          <t>Skybox Packaging, LLC</t>
        </is>
      </c>
      <c r="E44" s="10" t="inlineStr">
        <is>
          <t>Case# 00011159 - REVISED - Targeted Pet Treats Shelf Display</t>
        </is>
      </c>
      <c r="F44" s="10" t="inlineStr">
        <is>
          <t>Shelf Display Box — Peach (MRO42966 RevA)</t>
        </is>
      </c>
      <c r="G44" s="8" t="n">
        <v>1</v>
      </c>
      <c r="H44" s="10" t="n">
        <v/>
      </c>
      <c r="I44" s="8" t="n"/>
      <c r="J44" s="10" t="inlineStr">
        <is>
          <t>Gloss</t>
        </is>
      </c>
      <c r="K44" s="11" t="n">
        <v>311.78</v>
      </c>
      <c r="L44" s="11" t="n"/>
      <c r="M44" s="9" t="n"/>
      <c r="N44" s="10" t="inlineStr">
        <is>
          <t>unmatched</t>
        </is>
      </c>
    </row>
    <row r="45">
      <c r="A45" s="10" t="inlineStr">
        <is>
          <t>1-49</t>
        </is>
      </c>
      <c r="B45" s="8" t="n">
        <v>223784</v>
      </c>
      <c r="C45" s="10" t="inlineStr">
        <is>
          <t>RW-260730-154720</t>
        </is>
      </c>
      <c r="D45" s="10" t="inlineStr">
        <is>
          <t>Skybox Packaging, LLC</t>
        </is>
      </c>
      <c r="E45" s="10" t="inlineStr">
        <is>
          <t>Case# 00011159 - REVISED - Targeted Pet Treats Shelf Display</t>
        </is>
      </c>
      <c r="F45" s="10" t="inlineStr">
        <is>
          <t>Shelf Display Box — Yellow (MRO42966 RevA)</t>
        </is>
      </c>
      <c r="G45" s="8" t="n">
        <v>1</v>
      </c>
      <c r="H45" s="10" t="n">
        <v/>
      </c>
      <c r="I45" s="8" t="n"/>
      <c r="J45" s="10" t="inlineStr">
        <is>
          <t>Satin</t>
        </is>
      </c>
      <c r="K45" s="11" t="n">
        <v>311.78</v>
      </c>
      <c r="L45" s="11" t="n"/>
      <c r="M45" s="9" t="n"/>
      <c r="N45" s="10" t="inlineStr">
        <is>
          <t>unmatched</t>
        </is>
      </c>
    </row>
    <row r="46">
      <c r="A46" s="10" t="inlineStr">
        <is>
          <t>1-49</t>
        </is>
      </c>
      <c r="B46" s="8" t="n">
        <v>223864</v>
      </c>
      <c r="C46" s="10" t="inlineStr">
        <is>
          <t>CS-260803-133009</t>
        </is>
      </c>
      <c r="D46" s="10" t="inlineStr">
        <is>
          <t>Skybox Packaging, LLC</t>
        </is>
      </c>
      <c r="E46" s="10" t="inlineStr">
        <is>
          <t>Targeted Pet Treats - Country Kitchen Promotional Shipper</t>
        </is>
      </c>
      <c r="F46" s="10" t="inlineStr">
        <is>
          <t>Abound Display Base</t>
        </is>
      </c>
      <c r="G46" s="8" t="n">
        <v>1</v>
      </c>
      <c r="H46" s="10" t="inlineStr">
        <is>
          <t>MRO31492 Display Base</t>
        </is>
      </c>
      <c r="I46" s="8" t="n">
        <v>1</v>
      </c>
      <c r="J46" s="10" t="inlineStr">
        <is>
          <t>Satin</t>
        </is>
      </c>
      <c r="K46" s="11" t="n">
        <v>309.45</v>
      </c>
      <c r="L46" s="11" t="n">
        <v>323.08</v>
      </c>
      <c r="M46" s="9" t="n">
        <v>-4.218769345053856</v>
      </c>
      <c r="N46" s="10" t="inlineStr">
        <is>
          <t>qty-tie+name(0.70)</t>
        </is>
      </c>
    </row>
    <row r="47">
      <c r="A47" s="10" t="inlineStr">
        <is>
          <t>1-49</t>
        </is>
      </c>
      <c r="B47" s="8" t="n">
        <v>223851</v>
      </c>
      <c r="C47" s="10" t="inlineStr">
        <is>
          <t>RW-260724-153643</t>
        </is>
      </c>
      <c r="D47" s="10" t="inlineStr">
        <is>
          <t>Weber Display &amp; Packaging</t>
        </is>
      </c>
      <c r="E47" s="10" t="inlineStr">
        <is>
          <t>Mala Girl 3 Pak PDQ</t>
        </is>
      </c>
      <c r="F47" s="10" t="inlineStr">
        <is>
          <t>Tray</t>
        </is>
      </c>
      <c r="G47" s="8" t="n">
        <v>25</v>
      </c>
      <c r="H47" s="10" t="n">
        <v/>
      </c>
      <c r="I47" s="8" t="n"/>
      <c r="J47" s="10" t="inlineStr">
        <is>
          <t>Gloss</t>
        </is>
      </c>
      <c r="K47" s="11" t="n">
        <v>748.86</v>
      </c>
      <c r="L47" s="11" t="n"/>
      <c r="M47" s="9" t="n"/>
      <c r="N47" s="10" t="inlineStr">
        <is>
          <t>unmatched</t>
        </is>
      </c>
    </row>
    <row r="48">
      <c r="A48" s="10" t="inlineStr">
        <is>
          <t>1-49</t>
        </is>
      </c>
      <c r="B48" s="8" t="n">
        <v>223851</v>
      </c>
      <c r="C48" s="10" t="inlineStr">
        <is>
          <t>RW-260724-153643</t>
        </is>
      </c>
      <c r="D48" s="10" t="inlineStr">
        <is>
          <t>Weber Display &amp; Packaging</t>
        </is>
      </c>
      <c r="E48" s="10" t="inlineStr">
        <is>
          <t>Mala Girl 3 Pak PDQ</t>
        </is>
      </c>
      <c r="F48" s="10" t="inlineStr">
        <is>
          <t>Platform Dividers Combo</t>
        </is>
      </c>
      <c r="G48" s="8" t="n">
        <v>25</v>
      </c>
      <c r="H48" s="10" t="inlineStr">
        <is>
          <t>Platform Dividers Combo - #26959C</t>
        </is>
      </c>
      <c r="I48" s="8" t="n">
        <v>25</v>
      </c>
      <c r="J48" s="10" t="inlineStr">
        <is>
          <t>Satin</t>
        </is>
      </c>
      <c r="K48" s="11" t="n">
        <v>582.15</v>
      </c>
      <c r="L48" s="11" t="n">
        <v>452.82</v>
      </c>
      <c r="M48" s="9" t="n">
        <v>28.56101762289651</v>
      </c>
      <c r="N48" s="10" t="inlineStr">
        <is>
          <t>qty-tie+name(0.85)</t>
        </is>
      </c>
    </row>
    <row r="49">
      <c r="A49" s="10" t="inlineStr">
        <is>
          <t>50-199</t>
        </is>
      </c>
      <c r="B49" s="8" t="n">
        <v>223651</v>
      </c>
      <c r="C49" s="10" t="inlineStr">
        <is>
          <t>RW-260724-113737</t>
        </is>
      </c>
      <c r="D49" s="10" t="inlineStr">
        <is>
          <t>Apex Display Group</t>
        </is>
      </c>
      <c r="E49" s="10" t="inlineStr">
        <is>
          <t>0904-219 Center Joint</t>
        </is>
      </c>
      <c r="F49" s="10" t="inlineStr">
        <is>
          <t>D/C Joined</t>
        </is>
      </c>
      <c r="G49" s="8" t="n">
        <v>59</v>
      </c>
      <c r="H49" s="10" t="inlineStr">
        <is>
          <t>Set</t>
        </is>
      </c>
      <c r="I49" s="8" t="n">
        <v>59</v>
      </c>
      <c r="J49" s="10" t="n"/>
      <c r="K49" s="11" t="n">
        <v>194.89</v>
      </c>
      <c r="L49" s="11" t="n">
        <v>157.17</v>
      </c>
      <c r="M49" s="9" t="n">
        <v>23.99949099700961</v>
      </c>
      <c r="N49" s="10" t="inlineStr">
        <is>
          <t>qty-unique</t>
        </is>
      </c>
    </row>
    <row r="50">
      <c r="A50" s="10" t="inlineStr">
        <is>
          <t>50-199</t>
        </is>
      </c>
      <c r="B50" s="8" t="n">
        <v>224399</v>
      </c>
      <c r="C50" s="10" t="inlineStr">
        <is>
          <t>CD-260825-104135</t>
        </is>
      </c>
      <c r="D50" s="10" t="inlineStr">
        <is>
          <t>BCI Buckeye Division</t>
        </is>
      </c>
      <c r="E50" s="10" t="inlineStr">
        <is>
          <t>Part # 11590 / 11616 / 11617</t>
        </is>
      </c>
      <c r="F50" s="10" t="inlineStr">
        <is>
          <t>Optional Base (Joined)</t>
        </is>
      </c>
      <c r="G50" s="8" t="n">
        <v>100</v>
      </c>
      <c r="H50" s="10" t="n">
        <v/>
      </c>
      <c r="I50" s="8" t="n"/>
      <c r="J50" s="10" t="inlineStr">
        <is>
          <t>Satin</t>
        </is>
      </c>
      <c r="K50" s="11" t="n">
        <v>2404.16</v>
      </c>
      <c r="L50" s="11" t="n"/>
      <c r="M50" s="9" t="n"/>
      <c r="N50" s="10" t="inlineStr">
        <is>
          <t>unmatched</t>
        </is>
      </c>
    </row>
    <row r="51">
      <c r="A51" s="10" t="inlineStr">
        <is>
          <t>50-199</t>
        </is>
      </c>
      <c r="B51" s="8" t="n">
        <v>224032</v>
      </c>
      <c r="C51" s="10" t="inlineStr">
        <is>
          <t>RW-260819-085031</t>
        </is>
      </c>
      <c r="D51" s="10" t="inlineStr">
        <is>
          <t>BCI Knoxville Division</t>
        </is>
      </c>
      <c r="E51" s="10" t="inlineStr">
        <is>
          <t>Part 11378-11379-11380</t>
        </is>
      </c>
      <c r="F51" s="10" t="inlineStr">
        <is>
          <t>D/C Non-Joined — Part 11378 (03-010145-0)</t>
        </is>
      </c>
      <c r="G51" s="8" t="n">
        <v>150</v>
      </c>
      <c r="H51" s="10" t="inlineStr">
        <is>
          <t>Part #11378</t>
        </is>
      </c>
      <c r="I51" s="8" t="n">
        <v>150</v>
      </c>
      <c r="J51" s="10" t="inlineStr">
        <is>
          <t>Satin</t>
        </is>
      </c>
      <c r="K51" s="11" t="n">
        <v>2742.25</v>
      </c>
      <c r="L51" s="11" t="n">
        <v>3552.87</v>
      </c>
      <c r="M51" s="9" t="n">
        <v>-22.815920650066</v>
      </c>
      <c r="N51" s="10" t="inlineStr">
        <is>
          <t>exact</t>
        </is>
      </c>
    </row>
    <row r="52">
      <c r="A52" s="10" t="inlineStr">
        <is>
          <t>50-199</t>
        </is>
      </c>
      <c r="B52" s="8" t="n">
        <v>224032</v>
      </c>
      <c r="C52" s="10" t="inlineStr">
        <is>
          <t>RW-260819-085031</t>
        </is>
      </c>
      <c r="D52" s="10" t="inlineStr">
        <is>
          <t>BCI Knoxville Division</t>
        </is>
      </c>
      <c r="E52" s="10" t="inlineStr">
        <is>
          <t>Part 11378-11379-11380</t>
        </is>
      </c>
      <c r="F52" s="10" t="inlineStr">
        <is>
          <t>D/C Non-Joined — Part 11379 (03-010147-0)</t>
        </is>
      </c>
      <c r="G52" s="8" t="n">
        <v>150</v>
      </c>
      <c r="H52" s="10" t="inlineStr">
        <is>
          <t>Part #11379</t>
        </is>
      </c>
      <c r="I52" s="8" t="n">
        <v>150</v>
      </c>
      <c r="J52" s="10" t="inlineStr">
        <is>
          <t>Satin</t>
        </is>
      </c>
      <c r="K52" s="11" t="n">
        <v>2708.14</v>
      </c>
      <c r="L52" s="11" t="n">
        <v>4088.45</v>
      </c>
      <c r="M52" s="9" t="n">
        <v>-33.76120534676956</v>
      </c>
      <c r="N52" s="10" t="inlineStr">
        <is>
          <t>exact</t>
        </is>
      </c>
    </row>
    <row r="53">
      <c r="A53" s="10" t="inlineStr">
        <is>
          <t>50-199</t>
        </is>
      </c>
      <c r="B53" s="8" t="n">
        <v>224430</v>
      </c>
      <c r="C53" s="10" t="inlineStr">
        <is>
          <t>RW-260826-104427</t>
        </is>
      </c>
      <c r="D53" s="10" t="inlineStr">
        <is>
          <t>BCI Tennessee Division</t>
        </is>
      </c>
      <c r="E53" s="10" t="inlineStr">
        <is>
          <t>Dalen Mesh Fence Carton - Part#11636; File #157587</t>
        </is>
      </c>
      <c r="F53" s="10" t="inlineStr">
        <is>
          <t>Carton</t>
        </is>
      </c>
      <c r="G53" s="8" t="n">
        <v>100</v>
      </c>
      <c r="H53" s="10" t="inlineStr">
        <is>
          <t>03-010447-0</t>
        </is>
      </c>
      <c r="I53" s="8" t="n">
        <v>100</v>
      </c>
      <c r="J53" s="10" t="inlineStr">
        <is>
          <t>Satin</t>
        </is>
      </c>
      <c r="K53" s="11" t="n">
        <v>2171.54</v>
      </c>
      <c r="L53" s="11" t="n">
        <v>2083.64</v>
      </c>
      <c r="M53" s="9" t="n">
        <v>4.2185790251675</v>
      </c>
      <c r="N53" s="10" t="inlineStr">
        <is>
          <t>exact</t>
        </is>
      </c>
    </row>
    <row r="54">
      <c r="A54" s="10" t="inlineStr">
        <is>
          <t>50-199</t>
        </is>
      </c>
      <c r="B54" s="8" t="n">
        <v>222247</v>
      </c>
      <c r="C54" s="10" t="inlineStr">
        <is>
          <t>RW-260804-170630</t>
        </is>
      </c>
      <c r="D54" s="10" t="inlineStr">
        <is>
          <t>BCI-Houston Division</t>
        </is>
      </c>
      <c r="E54" s="10" t="inlineStr">
        <is>
          <t>Klass Time Weekender / 5-Shelf Display</t>
        </is>
      </c>
      <c r="F54" s="10" t="inlineStr">
        <is>
          <t>Body</t>
        </is>
      </c>
      <c r="G54" s="8" t="n">
        <v>80</v>
      </c>
      <c r="H54" s="10" t="inlineStr">
        <is>
          <t>Body</t>
        </is>
      </c>
      <c r="I54" s="8" t="n">
        <v>80</v>
      </c>
      <c r="J54" s="10" t="inlineStr">
        <is>
          <t>Satin</t>
        </is>
      </c>
      <c r="K54" s="11" t="n">
        <v>2514.33</v>
      </c>
      <c r="L54" s="11" t="n">
        <v>4218.83</v>
      </c>
      <c r="M54" s="9" t="n">
        <v>-40.40219681760109</v>
      </c>
      <c r="N54" s="10" t="inlineStr">
        <is>
          <t>qty-tie+name(1.00)</t>
        </is>
      </c>
    </row>
    <row r="55">
      <c r="A55" s="10" t="inlineStr">
        <is>
          <t>50-199</t>
        </is>
      </c>
      <c r="B55" s="8" t="n">
        <v>222247</v>
      </c>
      <c r="C55" s="10" t="inlineStr">
        <is>
          <t>RW-260804-170630</t>
        </is>
      </c>
      <c r="D55" s="10" t="inlineStr">
        <is>
          <t>BCI-Houston Division</t>
        </is>
      </c>
      <c r="E55" s="10" t="inlineStr">
        <is>
          <t>Klass Time Weekender / 5-Shelf Display</t>
        </is>
      </c>
      <c r="F55" s="10" t="inlineStr">
        <is>
          <t>Shelves</t>
        </is>
      </c>
      <c r="G55" s="8" t="n">
        <v>80</v>
      </c>
      <c r="H55" s="10" t="inlineStr">
        <is>
          <t>Shelves</t>
        </is>
      </c>
      <c r="I55" s="8" t="n">
        <v>400</v>
      </c>
      <c r="J55" s="10" t="inlineStr">
        <is>
          <t>Satin</t>
        </is>
      </c>
      <c r="K55" s="11" t="n">
        <v>3307.54</v>
      </c>
      <c r="L55" s="11" t="n">
        <v>4557.16</v>
      </c>
      <c r="M55" s="9" t="n">
        <v>-27.42102537545313</v>
      </c>
      <c r="N55" s="10" t="inlineStr">
        <is>
          <t>name(1.00)</t>
        </is>
      </c>
    </row>
    <row r="56">
      <c r="A56" s="10" t="inlineStr">
        <is>
          <t>50-199</t>
        </is>
      </c>
      <c r="B56" s="8" t="n">
        <v>222247</v>
      </c>
      <c r="C56" s="10" t="inlineStr">
        <is>
          <t>RW-260804-170630</t>
        </is>
      </c>
      <c r="D56" s="10" t="inlineStr">
        <is>
          <t>BCI-Houston Division</t>
        </is>
      </c>
      <c r="E56" s="10" t="inlineStr">
        <is>
          <t>Klass Time Weekender / 5-Shelf Display</t>
        </is>
      </c>
      <c r="F56" s="10" t="inlineStr">
        <is>
          <t>Body</t>
        </is>
      </c>
      <c r="G56" s="8" t="n">
        <v>132</v>
      </c>
      <c r="H56" s="10" t="inlineStr">
        <is>
          <t>Body</t>
        </is>
      </c>
      <c r="I56" s="8" t="n">
        <v>132</v>
      </c>
      <c r="J56" s="10" t="inlineStr">
        <is>
          <t>Satin</t>
        </is>
      </c>
      <c r="K56" s="11" t="n">
        <v>3677.31</v>
      </c>
      <c r="L56" s="11" t="n">
        <v>5271.36</v>
      </c>
      <c r="M56" s="9" t="n">
        <v>-30.23982425787652</v>
      </c>
      <c r="N56" s="10" t="inlineStr">
        <is>
          <t>qty-tie+name(1.00)</t>
        </is>
      </c>
    </row>
    <row r="57">
      <c r="A57" s="10" t="inlineStr">
        <is>
          <t>50-199</t>
        </is>
      </c>
      <c r="B57" s="8" t="n">
        <v>222247</v>
      </c>
      <c r="C57" s="10" t="inlineStr">
        <is>
          <t>RW-260804-170630</t>
        </is>
      </c>
      <c r="D57" s="10" t="inlineStr">
        <is>
          <t>BCI-Houston Division</t>
        </is>
      </c>
      <c r="E57" s="10" t="inlineStr">
        <is>
          <t>Klass Time Weekender / 5-Shelf Display</t>
        </is>
      </c>
      <c r="F57" s="10" t="inlineStr">
        <is>
          <t>Shelves</t>
        </is>
      </c>
      <c r="G57" s="8" t="n">
        <v>132</v>
      </c>
      <c r="H57" s="10" t="inlineStr">
        <is>
          <t>Shelves</t>
        </is>
      </c>
      <c r="I57" s="8" t="n">
        <v>660</v>
      </c>
      <c r="J57" s="10" t="inlineStr">
        <is>
          <t>Satin</t>
        </is>
      </c>
      <c r="K57" s="11" t="n">
        <v>4513.31</v>
      </c>
      <c r="L57" s="11" t="n">
        <v>6390.14</v>
      </c>
      <c r="M57" s="9" t="n">
        <v>-29.37071801243791</v>
      </c>
      <c r="N57" s="10" t="inlineStr">
        <is>
          <t>name(1.00)</t>
        </is>
      </c>
    </row>
    <row r="58">
      <c r="A58" s="10" t="inlineStr">
        <is>
          <t>50-199</t>
        </is>
      </c>
      <c r="B58" s="8" t="n">
        <v>224424</v>
      </c>
      <c r="C58" s="10" t="inlineStr">
        <is>
          <t>CS-260825-160705</t>
        </is>
      </c>
      <c r="D58" s="10" t="inlineStr">
        <is>
          <t>Effem (Mars Petcare)</t>
        </is>
      </c>
      <c r="E58" s="10" t="inlineStr">
        <is>
          <t>Temptations Bodega Direct Mailer</t>
        </is>
      </c>
      <c r="F58" s="10" t="inlineStr">
        <is>
          <t>Insert</t>
        </is>
      </c>
      <c r="G58" s="8" t="n">
        <v>65</v>
      </c>
      <c r="H58" s="10" t="n">
        <v/>
      </c>
      <c r="I58" s="8" t="n"/>
      <c r="J58" s="10" t="inlineStr">
        <is>
          <t>Gloss</t>
        </is>
      </c>
      <c r="K58" s="11" t="n">
        <v>1515.82</v>
      </c>
      <c r="L58" s="11" t="n"/>
      <c r="M58" s="9" t="n"/>
      <c r="N58" s="10" t="inlineStr">
        <is>
          <t>unmatched</t>
        </is>
      </c>
    </row>
    <row r="59">
      <c r="A59" s="10" t="inlineStr">
        <is>
          <t>50-199</t>
        </is>
      </c>
      <c r="B59" s="8" t="n">
        <v>224424</v>
      </c>
      <c r="C59" s="10" t="inlineStr">
        <is>
          <t>CS-260825-160705</t>
        </is>
      </c>
      <c r="D59" s="10" t="inlineStr">
        <is>
          <t>Effem (Mars Petcare)</t>
        </is>
      </c>
      <c r="E59" s="10" t="inlineStr">
        <is>
          <t>Temptations Bodega Direct Mailer</t>
        </is>
      </c>
      <c r="F59" s="10" t="inlineStr">
        <is>
          <t>Shipper</t>
        </is>
      </c>
      <c r="G59" s="8" t="n">
        <v>65</v>
      </c>
      <c r="H59" s="10" t="n">
        <v/>
      </c>
      <c r="I59" s="8" t="n"/>
      <c r="J59" s="10" t="n"/>
      <c r="K59" s="11" t="n">
        <v>677.6900000000001</v>
      </c>
      <c r="L59" s="11" t="n"/>
      <c r="M59" s="9" t="n"/>
      <c r="N59" s="10" t="inlineStr">
        <is>
          <t>unmatched</t>
        </is>
      </c>
    </row>
    <row r="60">
      <c r="A60" s="10" t="inlineStr">
        <is>
          <t>50-199</t>
        </is>
      </c>
      <c r="B60" s="8" t="n">
        <v>222800</v>
      </c>
      <c r="C60" s="10" t="inlineStr">
        <is>
          <t>RW-260806-155021</t>
        </is>
      </c>
      <c r="D60" s="10" t="inlineStr">
        <is>
          <t>Lynk Packaging</t>
        </is>
      </c>
      <c r="E60" s="10" t="inlineStr">
        <is>
          <t>BJ Sedona 19in Planter 2-Pack-Pallet Wrap</t>
        </is>
      </c>
      <c r="F60" s="10" t="inlineStr">
        <is>
          <t>2-PC Flange Btm Tube</t>
        </is>
      </c>
      <c r="G60" s="8" t="n">
        <v>50</v>
      </c>
      <c r="H60" s="10" t="inlineStr">
        <is>
          <t>Pallet Skirt</t>
        </is>
      </c>
      <c r="I60" s="8" t="n">
        <v>50</v>
      </c>
      <c r="J60" s="10" t="inlineStr">
        <is>
          <t>Satin</t>
        </is>
      </c>
      <c r="K60" s="11" t="n">
        <v>1104.99</v>
      </c>
      <c r="L60" s="11" t="n">
        <v>613.13</v>
      </c>
      <c r="M60" s="9" t="n">
        <v>80.22116027596105</v>
      </c>
      <c r="N60" s="10" t="inlineStr">
        <is>
          <t>qty-unique</t>
        </is>
      </c>
    </row>
    <row r="61">
      <c r="A61" s="10" t="inlineStr">
        <is>
          <t>50-199</t>
        </is>
      </c>
      <c r="B61" s="8" t="n">
        <v>223855</v>
      </c>
      <c r="C61" s="10" t="inlineStr">
        <is>
          <t>RW-260731-133402</t>
        </is>
      </c>
      <c r="D61" s="10" t="inlineStr">
        <is>
          <t>Massillon Container</t>
        </is>
      </c>
      <c r="E61" s="10" t="inlineStr">
        <is>
          <t>Tank Holdings - 110 lb. Tow Spreader</t>
        </is>
      </c>
      <c r="F61" s="10" t="inlineStr">
        <is>
          <t>RSC</t>
        </is>
      </c>
      <c r="G61" s="8" t="n">
        <v>85</v>
      </c>
      <c r="H61" s="10" t="inlineStr">
        <is>
          <t>RSC</t>
        </is>
      </c>
      <c r="I61" s="8" t="n">
        <v>85</v>
      </c>
      <c r="J61" s="10" t="inlineStr">
        <is>
          <t>Satin</t>
        </is>
      </c>
      <c r="K61" s="11" t="n">
        <v>5455.38</v>
      </c>
      <c r="L61" s="11" t="n">
        <v>1832.86</v>
      </c>
      <c r="M61" s="9" t="n">
        <v>197.6430278362778</v>
      </c>
      <c r="N61" s="10" t="inlineStr">
        <is>
          <t>qty-unique</t>
        </is>
      </c>
    </row>
    <row r="62">
      <c r="A62" s="10" t="inlineStr">
        <is>
          <t>50-199</t>
        </is>
      </c>
      <c r="B62" s="8" t="n">
        <v>223590</v>
      </c>
      <c r="C62" s="10" t="inlineStr">
        <is>
          <t>RW-260727-090826</t>
        </is>
      </c>
      <c r="D62" s="10" t="inlineStr">
        <is>
          <t>PCA - Akron</t>
        </is>
      </c>
      <c r="E62" s="10" t="inlineStr">
        <is>
          <t>Power Prep Mixer 01.27.2025</t>
        </is>
      </c>
      <c r="F62" s="10" t="inlineStr">
        <is>
          <t>RSC</t>
        </is>
      </c>
      <c r="G62" s="8" t="n">
        <v>50</v>
      </c>
      <c r="H62" s="10" t="n">
        <v/>
      </c>
      <c r="I62" s="8" t="n"/>
      <c r="J62" s="10" t="inlineStr">
        <is>
          <t>Gloss</t>
        </is>
      </c>
      <c r="K62" s="11" t="n">
        <v>1050.73</v>
      </c>
      <c r="L62" s="11" t="n"/>
      <c r="M62" s="9" t="n"/>
      <c r="N62" s="10" t="inlineStr">
        <is>
          <t>unmatched</t>
        </is>
      </c>
    </row>
    <row r="63">
      <c r="A63" s="10" t="inlineStr">
        <is>
          <t>50-199</t>
        </is>
      </c>
      <c r="B63" s="8" t="n">
        <v>223590</v>
      </c>
      <c r="C63" s="10" t="inlineStr">
        <is>
          <t>RW-260727-090826</t>
        </is>
      </c>
      <c r="D63" s="10" t="inlineStr">
        <is>
          <t>PCA - Akron</t>
        </is>
      </c>
      <c r="E63" s="10" t="inlineStr">
        <is>
          <t>Power Prep Mixer 01.27.2025</t>
        </is>
      </c>
      <c r="F63" s="10" t="inlineStr">
        <is>
          <t>RSC</t>
        </is>
      </c>
      <c r="G63" s="8" t="n">
        <v>100</v>
      </c>
      <c r="H63" s="10" t="n">
        <v>152443</v>
      </c>
      <c r="I63" s="8" t="n">
        <v>100</v>
      </c>
      <c r="J63" s="10" t="inlineStr">
        <is>
          <t>Gloss</t>
        </is>
      </c>
      <c r="K63" s="11" t="n">
        <v>1361.8</v>
      </c>
      <c r="L63" s="11" t="n">
        <v>1230.77</v>
      </c>
      <c r="M63" s="9" t="n">
        <v>10.64618084613697</v>
      </c>
      <c r="N63" s="10" t="inlineStr">
        <is>
          <t>qty-unique</t>
        </is>
      </c>
    </row>
    <row r="64">
      <c r="A64" s="10" t="inlineStr">
        <is>
          <t>50-199</t>
        </is>
      </c>
      <c r="B64" s="8" t="n">
        <v>222657</v>
      </c>
      <c r="C64" s="10" t="inlineStr">
        <is>
          <t>RW-260806-113829</t>
        </is>
      </c>
      <c r="D64" s="10" t="inlineStr">
        <is>
          <t>PCA - Ashland</t>
        </is>
      </c>
      <c r="E64" s="10" t="inlineStr">
        <is>
          <t>Costco Pretty Litter 8 lb 2pk Club Pack</t>
        </is>
      </c>
      <c r="F64" s="10" t="inlineStr">
        <is>
          <t>RSC</t>
        </is>
      </c>
      <c r="G64" s="8" t="n">
        <v>60</v>
      </c>
      <c r="H64" s="10" t="inlineStr">
        <is>
          <t>Carton</t>
        </is>
      </c>
      <c r="I64" s="8" t="n">
        <v>60</v>
      </c>
      <c r="J64" s="10" t="inlineStr">
        <is>
          <t>Gloss</t>
        </is>
      </c>
      <c r="K64" s="11" t="n">
        <v>1035.87</v>
      </c>
      <c r="L64" s="11" t="n">
        <v>720.4299999999999</v>
      </c>
      <c r="M64" s="9" t="n">
        <v>43.78496175894951</v>
      </c>
      <c r="N64" s="10" t="inlineStr">
        <is>
          <t>qty-unique</t>
        </is>
      </c>
    </row>
    <row r="65">
      <c r="A65" s="10" t="inlineStr">
        <is>
          <t>50-199</t>
        </is>
      </c>
      <c r="B65" s="8" t="n">
        <v>222762</v>
      </c>
      <c r="C65" s="10" t="inlineStr">
        <is>
          <t>RW-260806-132503</t>
        </is>
      </c>
      <c r="D65" s="10" t="inlineStr">
        <is>
          <t>PCA - Mooresville, NC</t>
        </is>
      </c>
      <c r="E65" s="10" t="inlineStr">
        <is>
          <t>Hunger Box</t>
        </is>
      </c>
      <c r="F65" s="10" t="inlineStr">
        <is>
          <t>Box</t>
        </is>
      </c>
      <c r="G65" s="8" t="n">
        <v>100</v>
      </c>
      <c r="H65" s="10" t="inlineStr">
        <is>
          <t>Box</t>
        </is>
      </c>
      <c r="I65" s="8" t="n">
        <v>100</v>
      </c>
      <c r="J65" s="10" t="inlineStr">
        <is>
          <t>Gloss</t>
        </is>
      </c>
      <c r="K65" s="11" t="n">
        <v>935.24</v>
      </c>
      <c r="L65" s="11" t="n">
        <v>598.04</v>
      </c>
      <c r="M65" s="9" t="n">
        <v>56.38418834860546</v>
      </c>
      <c r="N65" s="10" t="inlineStr">
        <is>
          <t>qty-unique</t>
        </is>
      </c>
    </row>
    <row r="66">
      <c r="A66" s="10" t="inlineStr">
        <is>
          <t>50-199</t>
        </is>
      </c>
      <c r="B66" s="8" t="n">
        <v>224286</v>
      </c>
      <c r="C66" s="10" t="inlineStr">
        <is>
          <t>FD-260820-144547</t>
        </is>
      </c>
      <c r="D66" s="10" t="inlineStr">
        <is>
          <t>PCA Ashland</t>
        </is>
      </c>
      <c r="E66" s="10" t="n">
        <v/>
      </c>
      <c r="F66" s="10" t="inlineStr">
        <is>
          <t>W11843789</t>
        </is>
      </c>
      <c r="G66" s="8" t="n">
        <v>150</v>
      </c>
      <c r="H66" s="10" t="n">
        <v/>
      </c>
      <c r="I66" s="8" t="n"/>
      <c r="J66" s="10" t="inlineStr">
        <is>
          <t>Satin</t>
        </is>
      </c>
      <c r="K66" s="11" t="n">
        <v>2961.18</v>
      </c>
      <c r="L66" s="11" t="n"/>
      <c r="M66" s="9" t="n"/>
      <c r="N66" s="10" t="inlineStr">
        <is>
          <t>no-iq-rows</t>
        </is>
      </c>
    </row>
    <row r="67">
      <c r="A67" s="10" t="inlineStr">
        <is>
          <t>50-199</t>
        </is>
      </c>
      <c r="B67" s="8" t="n">
        <v>222548</v>
      </c>
      <c r="C67" s="10" t="inlineStr">
        <is>
          <t>RW-260806-110857</t>
        </is>
      </c>
      <c r="D67" s="10" t="inlineStr">
        <is>
          <t>PCA Pennsylvania Acquisition Corporation</t>
        </is>
      </c>
      <c r="E67" s="10" t="inlineStr">
        <is>
          <t>L'Oreal C14 26 LP Infallible Story 24 CU</t>
        </is>
      </c>
      <c r="F67" s="10" t="inlineStr">
        <is>
          <t>C14 26 LP Infallible Story 24 CU Tray</t>
        </is>
      </c>
      <c r="G67" s="8" t="n">
        <v>51</v>
      </c>
      <c r="H67" s="10" t="inlineStr">
        <is>
          <t>C14 26 LP Infallible Story 24 CU Tray</t>
        </is>
      </c>
      <c r="I67" s="8" t="n">
        <v>51</v>
      </c>
      <c r="J67" s="10" t="inlineStr">
        <is>
          <t>Gloss</t>
        </is>
      </c>
      <c r="K67" s="11" t="n">
        <v>1083.56</v>
      </c>
      <c r="L67" s="11" t="n">
        <v>1044.36</v>
      </c>
      <c r="M67" s="9" t="n">
        <v>3.753494963422579</v>
      </c>
      <c r="N67" s="10" t="inlineStr">
        <is>
          <t>qty-unique</t>
        </is>
      </c>
    </row>
    <row r="68">
      <c r="A68" s="10" t="inlineStr">
        <is>
          <t>50-199</t>
        </is>
      </c>
      <c r="B68" s="8" t="n">
        <v>223172</v>
      </c>
      <c r="C68" s="10" t="inlineStr">
        <is>
          <t>RW-260807-133446</t>
        </is>
      </c>
      <c r="D68" s="10" t="inlineStr">
        <is>
          <t>PCA- New Oxford</t>
        </is>
      </c>
      <c r="E68" s="10" t="inlineStr">
        <is>
          <t>vlasic pckleball retail case samples</t>
        </is>
      </c>
      <c r="F68" s="10" t="inlineStr">
        <is>
          <t>Case</t>
        </is>
      </c>
      <c r="G68" s="8" t="n">
        <v>60</v>
      </c>
      <c r="H68" s="10" t="inlineStr">
        <is>
          <t>RSC</t>
        </is>
      </c>
      <c r="I68" s="8" t="n">
        <v>60</v>
      </c>
      <c r="J68" s="10" t="n"/>
      <c r="K68" s="11" t="n">
        <v>2838.7</v>
      </c>
      <c r="L68" s="11" t="n">
        <v>530.5</v>
      </c>
      <c r="M68" s="9" t="n">
        <v>435.0989632422243</v>
      </c>
      <c r="N68" s="10" t="inlineStr">
        <is>
          <t>qty-unique</t>
        </is>
      </c>
    </row>
    <row r="69">
      <c r="A69" s="10" t="inlineStr">
        <is>
          <t>50-199</t>
        </is>
      </c>
      <c r="B69" s="8" t="n">
        <v>223486</v>
      </c>
      <c r="C69" s="10" t="inlineStr">
        <is>
          <t>RW-260727-095102</t>
        </is>
      </c>
      <c r="D69" s="10" t="inlineStr">
        <is>
          <t>Skybox Packaging, LLC</t>
        </is>
      </c>
      <c r="E69" s="10" t="inlineStr">
        <is>
          <t>Z109871-1 / Mettler-Toledo</t>
        </is>
      </c>
      <c r="F69" s="10" t="inlineStr">
        <is>
          <t>D/C Joined</t>
        </is>
      </c>
      <c r="G69" s="8" t="n">
        <v>50</v>
      </c>
      <c r="H69" s="10" t="inlineStr">
        <is>
          <t>MRO39062</t>
        </is>
      </c>
      <c r="I69" s="8" t="n">
        <v>50</v>
      </c>
      <c r="J69" s="10" t="n"/>
      <c r="K69" s="11" t="n">
        <v>255.63</v>
      </c>
      <c r="L69" s="11" t="n">
        <v>248.28</v>
      </c>
      <c r="M69" s="9" t="n">
        <v>2.960367327211211</v>
      </c>
      <c r="N69" s="10" t="inlineStr">
        <is>
          <t>qty-unique</t>
        </is>
      </c>
    </row>
    <row r="70">
      <c r="A70" s="10" t="inlineStr">
        <is>
          <t>50-199</t>
        </is>
      </c>
      <c r="B70" s="8" t="n">
        <v>223701</v>
      </c>
      <c r="C70" s="10" t="inlineStr">
        <is>
          <t>RW-260720-133223</t>
        </is>
      </c>
      <c r="D70" s="10" t="inlineStr">
        <is>
          <t>Tavens</t>
        </is>
      </c>
      <c r="E70" s="10" t="inlineStr">
        <is>
          <t>TR-10351 16x8.5x6</t>
        </is>
      </c>
      <c r="F70" s="10" t="inlineStr">
        <is>
          <t>Front Tuck Mailer 16x8.5x6</t>
        </is>
      </c>
      <c r="G70" s="8" t="n">
        <v>50</v>
      </c>
      <c r="H70" s="10" t="n">
        <v/>
      </c>
      <c r="I70" s="8" t="n"/>
      <c r="J70" s="10" t="inlineStr">
        <is>
          <t>Gloss</t>
        </is>
      </c>
      <c r="K70" s="11" t="n">
        <v>1377.16</v>
      </c>
      <c r="L70" s="11" t="n"/>
      <c r="M70" s="9" t="n"/>
      <c r="N70" s="10" t="inlineStr">
        <is>
          <t>unmatched</t>
        </is>
      </c>
    </row>
    <row r="71">
      <c r="A71" s="10" t="inlineStr">
        <is>
          <t>50-199</t>
        </is>
      </c>
      <c r="B71" s="8" t="n">
        <v>223701</v>
      </c>
      <c r="C71" s="10" t="inlineStr">
        <is>
          <t>RW-260720-133223</t>
        </is>
      </c>
      <c r="D71" s="10" t="inlineStr">
        <is>
          <t>Tavens</t>
        </is>
      </c>
      <c r="E71" s="10" t="inlineStr">
        <is>
          <t>TR-10351 16x8.5x6</t>
        </is>
      </c>
      <c r="F71" s="10" t="inlineStr">
        <is>
          <t>Front Tuck Mailer 16x8.5x6</t>
        </is>
      </c>
      <c r="G71" s="8" t="n">
        <v>100</v>
      </c>
      <c r="H71" s="10" t="n">
        <v/>
      </c>
      <c r="I71" s="8" t="n"/>
      <c r="J71" s="10" t="inlineStr">
        <is>
          <t>Gloss</t>
        </is>
      </c>
      <c r="K71" s="11" t="n">
        <v>1866.15</v>
      </c>
      <c r="L71" s="11" t="n"/>
      <c r="M71" s="9" t="n"/>
      <c r="N71" s="10" t="inlineStr">
        <is>
          <t>unmatched</t>
        </is>
      </c>
    </row>
    <row r="72">
      <c r="A72" s="10" t="inlineStr">
        <is>
          <t>50-199</t>
        </is>
      </c>
      <c r="B72" s="8" t="n">
        <v>224257</v>
      </c>
      <c r="C72" s="10" t="inlineStr">
        <is>
          <t>CD-260818-152740</t>
        </is>
      </c>
      <c r="D72" s="10" t="inlineStr">
        <is>
          <t>Tavens</t>
        </is>
      </c>
      <c r="E72" s="10" t="inlineStr">
        <is>
          <t>Digital PW Display</t>
        </is>
      </c>
      <c r="F72" s="10" t="inlineStr">
        <is>
          <t>Display Base</t>
        </is>
      </c>
      <c r="G72" s="8" t="n">
        <v>100</v>
      </c>
      <c r="H72" s="10" t="n">
        <v/>
      </c>
      <c r="I72" s="8" t="n"/>
      <c r="J72" s="10" t="inlineStr">
        <is>
          <t>Satin</t>
        </is>
      </c>
      <c r="K72" s="11" t="n">
        <v>2318.55</v>
      </c>
      <c r="L72" s="11" t="n"/>
      <c r="M72" s="9" t="n"/>
      <c r="N72" s="10" t="inlineStr">
        <is>
          <t>unmatched</t>
        </is>
      </c>
    </row>
    <row r="73">
      <c r="A73" s="10" t="inlineStr">
        <is>
          <t>50-199</t>
        </is>
      </c>
      <c r="B73" s="8" t="n">
        <v>224257</v>
      </c>
      <c r="C73" s="10" t="inlineStr">
        <is>
          <t>CD-260818-152740</t>
        </is>
      </c>
      <c r="D73" s="10" t="inlineStr">
        <is>
          <t>Tavens</t>
        </is>
      </c>
      <c r="E73" s="10" t="inlineStr">
        <is>
          <t>Digital PW Display</t>
        </is>
      </c>
      <c r="F73" s="10" t="inlineStr">
        <is>
          <t>D/C Tray (Peg Board Power Wing)</t>
        </is>
      </c>
      <c r="G73" s="8" t="n">
        <v>100</v>
      </c>
      <c r="H73" s="10" t="n">
        <v/>
      </c>
      <c r="I73" s="8" t="n"/>
      <c r="J73" s="10" t="inlineStr">
        <is>
          <t>Satin</t>
        </is>
      </c>
      <c r="K73" s="11" t="n">
        <v>3110.14</v>
      </c>
      <c r="L73" s="11" t="n"/>
      <c r="M73" s="9" t="n"/>
      <c r="N73" s="10" t="inlineStr">
        <is>
          <t>unmatched</t>
        </is>
      </c>
    </row>
    <row r="74">
      <c r="A74" s="10" t="inlineStr">
        <is>
          <t>50-199</t>
        </is>
      </c>
      <c r="B74" s="8" t="n">
        <v>222817</v>
      </c>
      <c r="C74" s="10" t="inlineStr">
        <is>
          <t>RW-260806-160530</t>
        </is>
      </c>
      <c r="D74" s="10" t="inlineStr">
        <is>
          <t>Weber Display &amp; Packaging</t>
        </is>
      </c>
      <c r="E74" s="10" t="inlineStr">
        <is>
          <t>Salvation Army Carton</t>
        </is>
      </c>
      <c r="F74" s="10" t="inlineStr">
        <is>
          <t>Carton</t>
        </is>
      </c>
      <c r="G74" s="8" t="n">
        <v>100</v>
      </c>
      <c r="H74" s="10" t="inlineStr">
        <is>
          <t>23727B</t>
        </is>
      </c>
      <c r="I74" s="8" t="n">
        <v>100</v>
      </c>
      <c r="J74" s="10" t="inlineStr">
        <is>
          <t>Gloss</t>
        </is>
      </c>
      <c r="K74" s="11" t="n">
        <v>3213.02</v>
      </c>
      <c r="L74" s="11" t="n">
        <v>3314.78</v>
      </c>
      <c r="M74" s="9" t="n">
        <v>-3.069886990991867</v>
      </c>
      <c r="N74" s="10" t="inlineStr">
        <is>
          <t>qty-unique</t>
        </is>
      </c>
    </row>
    <row r="75">
      <c r="A75" s="10" t="inlineStr">
        <is>
          <t>50-199</t>
        </is>
      </c>
      <c r="B75" s="8" t="n">
        <v>224524</v>
      </c>
      <c r="C75" s="10" t="inlineStr">
        <is>
          <t>RW-260827-085319</t>
        </is>
      </c>
      <c r="D75" s="10" t="inlineStr">
        <is>
          <t>Weber Display &amp; Packaging</t>
        </is>
      </c>
      <c r="E75" s="10" t="inlineStr">
        <is>
          <t>2026 Promo Boxes</t>
        </is>
      </c>
      <c r="F75" s="10" t="inlineStr">
        <is>
          <t>RSC</t>
        </is>
      </c>
      <c r="G75" s="8" t="n">
        <v>130</v>
      </c>
      <c r="H75" s="10" t="inlineStr">
        <is>
          <t>Promo Boxes</t>
        </is>
      </c>
      <c r="I75" s="8" t="n">
        <v>130</v>
      </c>
      <c r="J75" s="10" t="inlineStr">
        <is>
          <t>Gloss</t>
        </is>
      </c>
      <c r="K75" s="11" t="n">
        <v>3930.32</v>
      </c>
      <c r="L75" s="11" t="n">
        <v>4029.04</v>
      </c>
      <c r="M75" s="9" t="n">
        <v>-2.450211464765796</v>
      </c>
      <c r="N75" s="10" t="inlineStr">
        <is>
          <t>exact</t>
        </is>
      </c>
    </row>
    <row r="76">
      <c r="A76" s="10" t="inlineStr">
        <is>
          <t>50-199</t>
        </is>
      </c>
      <c r="B76" s="8" t="n">
        <v>224524</v>
      </c>
      <c r="C76" s="10" t="inlineStr">
        <is>
          <t>RW-260827-085319</t>
        </is>
      </c>
      <c r="D76" s="10" t="inlineStr">
        <is>
          <t>Weber Display &amp; Packaging</t>
        </is>
      </c>
      <c r="E76" s="10" t="inlineStr">
        <is>
          <t>2026 Promo Boxes</t>
        </is>
      </c>
      <c r="F76" s="10" t="inlineStr">
        <is>
          <t>RSC</t>
        </is>
      </c>
      <c r="G76" s="8" t="n">
        <v>180</v>
      </c>
      <c r="H76" s="10" t="inlineStr">
        <is>
          <t>Promo Boxes</t>
        </is>
      </c>
      <c r="I76" s="8" t="n">
        <v>180</v>
      </c>
      <c r="J76" s="10" t="inlineStr">
        <is>
          <t>Gloss</t>
        </is>
      </c>
      <c r="K76" s="11" t="n">
        <v>5267.59</v>
      </c>
      <c r="L76" s="11" t="n">
        <v>5381.51</v>
      </c>
      <c r="M76" s="9" t="n">
        <v>-2.116877976627379</v>
      </c>
      <c r="N76" s="10" t="inlineStr">
        <is>
          <t>exact</t>
        </is>
      </c>
    </row>
    <row r="77">
      <c r="A77" s="10" t="inlineStr">
        <is>
          <t>50-199</t>
        </is>
      </c>
      <c r="B77" s="8" t="n">
        <v>223590</v>
      </c>
      <c r="C77" s="10" t="inlineStr">
        <is>
          <t>RW-260722-090416</t>
        </is>
      </c>
      <c r="D77" s="10" t="n">
        <v/>
      </c>
      <c r="E77" s="10" t="inlineStr">
        <is>
          <t>Vitamix Power Prep Mixer digital reorder</t>
        </is>
      </c>
      <c r="F77" s="10" t="inlineStr">
        <is>
          <t>RSC</t>
        </is>
      </c>
      <c r="G77" s="8" t="n">
        <v>50</v>
      </c>
      <c r="H77" s="10" t="n">
        <v>152443</v>
      </c>
      <c r="I77" s="8" t="n">
        <v>50</v>
      </c>
      <c r="J77" s="10" t="inlineStr">
        <is>
          <t>Gloss</t>
        </is>
      </c>
      <c r="K77" s="11" t="n">
        <v>1120.73</v>
      </c>
      <c r="L77" s="11" t="n">
        <v>724.2</v>
      </c>
      <c r="M77" s="9" t="n">
        <v>54.75421154377243</v>
      </c>
      <c r="N77" s="10" t="inlineStr">
        <is>
          <t>qty-unique</t>
        </is>
      </c>
    </row>
    <row r="78">
      <c r="A78" s="10" t="inlineStr">
        <is>
          <t>50-199</t>
        </is>
      </c>
      <c r="B78" s="8" t="n">
        <v>224286</v>
      </c>
      <c r="C78" s="10" t="inlineStr">
        <is>
          <t>FD-260820-094408</t>
        </is>
      </c>
      <c r="D78" s="10" t="n">
        <v/>
      </c>
      <c r="E78" s="10" t="n">
        <v/>
      </c>
      <c r="F78" s="10" t="inlineStr">
        <is>
          <t>CAD #3790214830-1 Shipper</t>
        </is>
      </c>
      <c r="G78" s="8" t="n">
        <v>150</v>
      </c>
      <c r="H78" s="10" t="inlineStr">
        <is>
          <t>W11843789 Shipper</t>
        </is>
      </c>
      <c r="I78" s="8" t="n">
        <v>150</v>
      </c>
      <c r="J78" s="10" t="inlineStr">
        <is>
          <t>Satin</t>
        </is>
      </c>
      <c r="K78" s="11" t="n">
        <v>3053.84</v>
      </c>
      <c r="L78" s="11" t="n">
        <v>2564.11</v>
      </c>
      <c r="M78" s="9" t="n">
        <v>19.09941461169763</v>
      </c>
      <c r="N78" s="10" t="inlineStr">
        <is>
          <t>exact</t>
        </is>
      </c>
    </row>
    <row r="79">
      <c r="A79" s="10" t="inlineStr">
        <is>
          <t>200-999</t>
        </is>
      </c>
      <c r="B79" s="8" t="n">
        <v>224032</v>
      </c>
      <c r="C79" s="10" t="inlineStr">
        <is>
          <t>RW-260819-085031</t>
        </is>
      </c>
      <c r="D79" s="10" t="inlineStr">
        <is>
          <t>BCI Knoxville Division</t>
        </is>
      </c>
      <c r="E79" s="10" t="inlineStr">
        <is>
          <t>Part 11378-11379-11380</t>
        </is>
      </c>
      <c r="F79" s="10" t="inlineStr">
        <is>
          <t>D/C Non-Joined — Part 11378 (03-010145-0)</t>
        </is>
      </c>
      <c r="G79" s="8" t="n">
        <v>300</v>
      </c>
      <c r="H79" s="10" t="inlineStr">
        <is>
          <t>Part #11378</t>
        </is>
      </c>
      <c r="I79" s="8" t="n">
        <v>300</v>
      </c>
      <c r="J79" s="10" t="inlineStr">
        <is>
          <t>Satin</t>
        </is>
      </c>
      <c r="K79" s="11" t="n">
        <v>4142.82</v>
      </c>
      <c r="L79" s="11" t="n">
        <v>4900.97</v>
      </c>
      <c r="M79" s="9" t="n">
        <v>-15.46938667243424</v>
      </c>
      <c r="N79" s="10" t="inlineStr">
        <is>
          <t>exact</t>
        </is>
      </c>
    </row>
    <row r="80">
      <c r="A80" s="10" t="inlineStr">
        <is>
          <t>200-999</t>
        </is>
      </c>
      <c r="B80" s="8" t="n">
        <v>224032</v>
      </c>
      <c r="C80" s="10" t="inlineStr">
        <is>
          <t>RW-260819-085031</t>
        </is>
      </c>
      <c r="D80" s="10" t="inlineStr">
        <is>
          <t>BCI Knoxville Division</t>
        </is>
      </c>
      <c r="E80" s="10" t="inlineStr">
        <is>
          <t>Part 11378-11379-11380</t>
        </is>
      </c>
      <c r="F80" s="10" t="inlineStr">
        <is>
          <t>D/C Non-Joined — Part 11379 (03-010147-0)</t>
        </is>
      </c>
      <c r="G80" s="8" t="n">
        <v>300</v>
      </c>
      <c r="H80" s="10" t="inlineStr">
        <is>
          <t>Part #11379</t>
        </is>
      </c>
      <c r="I80" s="8" t="n">
        <v>300</v>
      </c>
      <c r="J80" s="10" t="inlineStr">
        <is>
          <t>Satin</t>
        </is>
      </c>
      <c r="K80" s="11" t="n">
        <v>4142.82</v>
      </c>
      <c r="L80" s="11" t="n">
        <v>5816.86</v>
      </c>
      <c r="M80" s="9" t="n">
        <v>-28.77910075195209</v>
      </c>
      <c r="N80" s="10" t="inlineStr">
        <is>
          <t>exact</t>
        </is>
      </c>
    </row>
    <row r="81">
      <c r="A81" s="10" t="inlineStr">
        <is>
          <t>200-999</t>
        </is>
      </c>
      <c r="B81" s="8" t="n">
        <v>224032</v>
      </c>
      <c r="C81" s="10" t="inlineStr">
        <is>
          <t>RW-260819-085031</t>
        </is>
      </c>
      <c r="D81" s="10" t="inlineStr">
        <is>
          <t>BCI Knoxville Division</t>
        </is>
      </c>
      <c r="E81" s="10" t="inlineStr">
        <is>
          <t>Part 11378-11379-11380</t>
        </is>
      </c>
      <c r="F81" s="10" t="inlineStr">
        <is>
          <t>D/C Non-Joined — Part 11378 (03-010145-0)</t>
        </is>
      </c>
      <c r="G81" s="8" t="n">
        <v>500</v>
      </c>
      <c r="H81" s="10" t="inlineStr">
        <is>
          <t>Part #11378</t>
        </is>
      </c>
      <c r="I81" s="8" t="n">
        <v>500</v>
      </c>
      <c r="J81" s="10" t="inlineStr">
        <is>
          <t>Satin</t>
        </is>
      </c>
      <c r="K81" s="11" t="n">
        <v>6403.92</v>
      </c>
      <c r="L81" s="11" t="n">
        <v>6898.43</v>
      </c>
      <c r="M81" s="9" t="n">
        <v>-7.168442674637565</v>
      </c>
      <c r="N81" s="10" t="inlineStr">
        <is>
          <t>exact</t>
        </is>
      </c>
    </row>
    <row r="82">
      <c r="A82" s="10" t="inlineStr">
        <is>
          <t>200-999</t>
        </is>
      </c>
      <c r="B82" s="8" t="n">
        <v>224032</v>
      </c>
      <c r="C82" s="10" t="inlineStr">
        <is>
          <t>RW-260819-085031</t>
        </is>
      </c>
      <c r="D82" s="10" t="inlineStr">
        <is>
          <t>BCI Knoxville Division</t>
        </is>
      </c>
      <c r="E82" s="10" t="inlineStr">
        <is>
          <t>Part 11378-11379-11380</t>
        </is>
      </c>
      <c r="F82" s="10" t="inlineStr">
        <is>
          <t>D/C Non-Joined — Part 11379 (03-010147-0)</t>
        </is>
      </c>
      <c r="G82" s="8" t="n">
        <v>500</v>
      </c>
      <c r="H82" s="10" t="inlineStr">
        <is>
          <t>Part #11379</t>
        </is>
      </c>
      <c r="I82" s="8" t="n">
        <v>500</v>
      </c>
      <c r="J82" s="10" t="inlineStr">
        <is>
          <t>Satin</t>
        </is>
      </c>
      <c r="K82" s="11" t="n">
        <v>6403.92</v>
      </c>
      <c r="L82" s="11" t="n">
        <v>8418.110000000001</v>
      </c>
      <c r="M82" s="9" t="n">
        <v>-23.92686719465534</v>
      </c>
      <c r="N82" s="10" t="inlineStr">
        <is>
          <t>exact</t>
        </is>
      </c>
    </row>
    <row r="83">
      <c r="A83" s="10" t="inlineStr">
        <is>
          <t>200-999</t>
        </is>
      </c>
      <c r="B83" s="8" t="n">
        <v>224430</v>
      </c>
      <c r="C83" s="10" t="inlineStr">
        <is>
          <t>RW-260826-104427</t>
        </is>
      </c>
      <c r="D83" s="10" t="inlineStr">
        <is>
          <t>BCI Tennessee Division</t>
        </is>
      </c>
      <c r="E83" s="10" t="inlineStr">
        <is>
          <t>Dalen Mesh Fence Carton - Part#11636; File #157587</t>
        </is>
      </c>
      <c r="F83" s="10" t="inlineStr">
        <is>
          <t>Carton</t>
        </is>
      </c>
      <c r="G83" s="8" t="n">
        <v>250</v>
      </c>
      <c r="H83" s="10" t="inlineStr">
        <is>
          <t>03-010447-0</t>
        </is>
      </c>
      <c r="I83" s="8" t="n">
        <v>250</v>
      </c>
      <c r="J83" s="10" t="inlineStr">
        <is>
          <t>Satin</t>
        </is>
      </c>
      <c r="K83" s="11" t="n">
        <v>3803.53</v>
      </c>
      <c r="L83" s="11" t="n">
        <v>4923.43</v>
      </c>
      <c r="M83" s="9" t="n">
        <v>-22.7463374111138</v>
      </c>
      <c r="N83" s="10" t="inlineStr">
        <is>
          <t>exact</t>
        </is>
      </c>
    </row>
    <row r="84">
      <c r="A84" s="10" t="inlineStr">
        <is>
          <t>200-999</t>
        </is>
      </c>
      <c r="B84" s="8" t="n">
        <v>221299</v>
      </c>
      <c r="C84" s="10" t="inlineStr">
        <is>
          <t>RW-260720-093753</t>
        </is>
      </c>
      <c r="D84" s="10" t="inlineStr">
        <is>
          <t>GO2 Partners, Inc.</t>
        </is>
      </c>
      <c r="E84" s="10" t="inlineStr">
        <is>
          <t>3M Wall Repair Kit</t>
        </is>
      </c>
      <c r="F84" s="10" t="inlineStr">
        <is>
          <t>Standard Wall Repair Kit Box</t>
        </is>
      </c>
      <c r="G84" s="8" t="n">
        <v>300</v>
      </c>
      <c r="H84" s="10" t="inlineStr">
        <is>
          <t>Standard Box</t>
        </is>
      </c>
      <c r="I84" s="8" t="n">
        <v>300</v>
      </c>
      <c r="J84" s="10" t="inlineStr">
        <is>
          <t>Satin</t>
        </is>
      </c>
      <c r="K84" s="11" t="n">
        <v>2287.86</v>
      </c>
      <c r="L84" s="11" t="n">
        <v>1932.45</v>
      </c>
      <c r="M84" s="9" t="n">
        <v>18.39167895676473</v>
      </c>
      <c r="N84" s="10" t="inlineStr">
        <is>
          <t>qty-unique</t>
        </is>
      </c>
    </row>
    <row r="85">
      <c r="A85" s="10" t="inlineStr">
        <is>
          <t>200-999</t>
        </is>
      </c>
      <c r="B85" s="8" t="n">
        <v>221299</v>
      </c>
      <c r="C85" s="10" t="inlineStr">
        <is>
          <t>RW-260720-093753</t>
        </is>
      </c>
      <c r="D85" s="10" t="inlineStr">
        <is>
          <t>GO2 Partners, Inc.</t>
        </is>
      </c>
      <c r="E85" s="10" t="inlineStr">
        <is>
          <t>3M Wall Repair Kit</t>
        </is>
      </c>
      <c r="F85" s="10" t="inlineStr">
        <is>
          <t>Premium Wall Repair Kit Box</t>
        </is>
      </c>
      <c r="G85" s="8" t="n">
        <v>300</v>
      </c>
      <c r="H85" s="10" t="n">
        <v/>
      </c>
      <c r="I85" s="8" t="n"/>
      <c r="J85" s="10" t="inlineStr">
        <is>
          <t>Satin</t>
        </is>
      </c>
      <c r="K85" s="11" t="n">
        <v>733.14</v>
      </c>
      <c r="L85" s="11" t="n"/>
      <c r="M85" s="9" t="n"/>
      <c r="N85" s="10" t="inlineStr">
        <is>
          <t>unmatched</t>
        </is>
      </c>
    </row>
    <row r="86">
      <c r="A86" s="10" t="inlineStr">
        <is>
          <t>200-999</t>
        </is>
      </c>
      <c r="B86" s="8" t="n">
        <v>223785</v>
      </c>
      <c r="C86" s="10" t="inlineStr">
        <is>
          <t>RW-260721-102108</t>
        </is>
      </c>
      <c r="D86" s="10" t="inlineStr">
        <is>
          <t>Massillon Container Company</t>
        </is>
      </c>
      <c r="E86" s="10" t="inlineStr">
        <is>
          <t>Fatt Boyy Knife &amp; Tool - Folding Knife Pizza Box</t>
        </is>
      </c>
      <c r="F86" s="10" t="inlineStr">
        <is>
          <t>Folding Knife Pizza Box</t>
        </is>
      </c>
      <c r="G86" s="8" t="n">
        <v>500</v>
      </c>
      <c r="H86" s="10" t="inlineStr">
        <is>
          <t>MCC-21561-CAD</t>
        </is>
      </c>
      <c r="I86" s="8" t="n">
        <v>500</v>
      </c>
      <c r="J86" s="10" t="inlineStr">
        <is>
          <t>Satin</t>
        </is>
      </c>
      <c r="K86" s="11" t="n">
        <v>1187.43</v>
      </c>
      <c r="L86" s="11" t="n">
        <v>1003.06</v>
      </c>
      <c r="M86" s="9" t="n">
        <v>18.3807548900365</v>
      </c>
      <c r="N86" s="10" t="inlineStr">
        <is>
          <t>qty-unique</t>
        </is>
      </c>
    </row>
    <row r="87">
      <c r="A87" s="10" t="inlineStr">
        <is>
          <t>200-999</t>
        </is>
      </c>
      <c r="B87" s="8" t="n">
        <v>224377</v>
      </c>
      <c r="C87" s="10" t="inlineStr">
        <is>
          <t>CD-260825-091053</t>
        </is>
      </c>
      <c r="D87" s="10" t="inlineStr">
        <is>
          <t>Mondelez International</t>
        </is>
      </c>
      <c r="E87" s="10" t="inlineStr">
        <is>
          <t>44000 90245 2027 Oreo IMC Large DBL Kit — Digital Innovation Hutch Kit</t>
        </is>
      </c>
      <c r="F87" s="10" t="inlineStr">
        <is>
          <t>Button Hutch – Print A</t>
        </is>
      </c>
      <c r="G87" s="8" t="n">
        <v>400</v>
      </c>
      <c r="H87" s="10" t="n">
        <v/>
      </c>
      <c r="I87" s="8" t="n"/>
      <c r="J87" s="10" t="inlineStr">
        <is>
          <t>Gloss</t>
        </is>
      </c>
      <c r="K87" s="11" t="n">
        <v>5726.28</v>
      </c>
      <c r="L87" s="11" t="n"/>
      <c r="M87" s="9" t="n"/>
      <c r="N87" s="10" t="inlineStr">
        <is>
          <t>unmatched</t>
        </is>
      </c>
    </row>
    <row r="88">
      <c r="A88" s="10" t="inlineStr">
        <is>
          <t>200-999</t>
        </is>
      </c>
      <c r="B88" s="8" t="n">
        <v>224377</v>
      </c>
      <c r="C88" s="10" t="inlineStr">
        <is>
          <t>CD-260825-091053</t>
        </is>
      </c>
      <c r="D88" s="10" t="inlineStr">
        <is>
          <t>Mondelez International</t>
        </is>
      </c>
      <c r="E88" s="10" t="inlineStr">
        <is>
          <t>44000 90245 2027 Oreo IMC Large DBL Kit — Digital Innovation Hutch Kit</t>
        </is>
      </c>
      <c r="F88" s="10" t="inlineStr">
        <is>
          <t>Large Hutch – Print B</t>
        </is>
      </c>
      <c r="G88" s="8" t="n">
        <v>400</v>
      </c>
      <c r="H88" s="10" t="n">
        <v/>
      </c>
      <c r="I88" s="8" t="n"/>
      <c r="J88" s="10" t="inlineStr">
        <is>
          <t>Gloss</t>
        </is>
      </c>
      <c r="K88" s="11" t="n">
        <v>5726.28</v>
      </c>
      <c r="L88" s="11" t="n"/>
      <c r="M88" s="9" t="n"/>
      <c r="N88" s="10" t="inlineStr">
        <is>
          <t>unmatched</t>
        </is>
      </c>
    </row>
    <row r="89">
      <c r="A89" s="10" t="inlineStr">
        <is>
          <t>200-999</t>
        </is>
      </c>
      <c r="B89" s="8" t="n">
        <v>224377</v>
      </c>
      <c r="C89" s="10" t="inlineStr">
        <is>
          <t>CD-260825-091053</t>
        </is>
      </c>
      <c r="D89" s="10" t="inlineStr">
        <is>
          <t>Mondelez International</t>
        </is>
      </c>
      <c r="E89" s="10" t="inlineStr">
        <is>
          <t>44000 90245 2027 Oreo IMC Large DBL Kit — Digital Innovation Hutch Kit</t>
        </is>
      </c>
      <c r="F89" s="10" t="inlineStr">
        <is>
          <t>Inner Shelves</t>
        </is>
      </c>
      <c r="G89" s="8" t="n">
        <v>400</v>
      </c>
      <c r="H89" s="10" t="inlineStr">
        <is>
          <t>Shelves</t>
        </is>
      </c>
      <c r="I89" s="8" t="n">
        <v>800</v>
      </c>
      <c r="J89" s="10" t="n"/>
      <c r="K89" s="11" t="n">
        <v>14429.02</v>
      </c>
      <c r="L89" s="11" t="n">
        <v>12036.09</v>
      </c>
      <c r="M89" s="9" t="n">
        <v>19.8812903525979</v>
      </c>
      <c r="N89" s="10" t="inlineStr">
        <is>
          <t>name(0.70)</t>
        </is>
      </c>
    </row>
    <row r="90">
      <c r="A90" s="10" t="inlineStr">
        <is>
          <t>200-999</t>
        </is>
      </c>
      <c r="B90" s="8" t="n">
        <v>224377</v>
      </c>
      <c r="C90" s="10" t="inlineStr">
        <is>
          <t>CD-260825-091053</t>
        </is>
      </c>
      <c r="D90" s="10" t="inlineStr">
        <is>
          <t>Mondelez International</t>
        </is>
      </c>
      <c r="E90" s="10" t="inlineStr">
        <is>
          <t>44000 90245 2027 Oreo IMC Large DBL Kit — Digital Innovation Hutch Kit</t>
        </is>
      </c>
      <c r="F90" s="10" t="inlineStr">
        <is>
          <t>Large Back Panel</t>
        </is>
      </c>
      <c r="G90" s="8" t="n">
        <v>400</v>
      </c>
      <c r="H90" s="10" t="inlineStr">
        <is>
          <t>Back Panel</t>
        </is>
      </c>
      <c r="I90" s="8" t="n">
        <v>800</v>
      </c>
      <c r="J90" s="10" t="n"/>
      <c r="K90" s="11" t="n">
        <v>13934.14</v>
      </c>
      <c r="L90" s="11" t="n">
        <v>6442.48</v>
      </c>
      <c r="M90" s="9" t="n">
        <v>116.2853435323043</v>
      </c>
      <c r="N90" s="10" t="inlineStr">
        <is>
          <t>name(0.77)</t>
        </is>
      </c>
    </row>
    <row r="91">
      <c r="A91" s="10" t="inlineStr">
        <is>
          <t>200-999</t>
        </is>
      </c>
      <c r="B91" s="8" t="n">
        <v>224377</v>
      </c>
      <c r="C91" s="10" t="inlineStr">
        <is>
          <t>CD-260825-091053</t>
        </is>
      </c>
      <c r="D91" s="10" t="inlineStr">
        <is>
          <t>Mondelez International</t>
        </is>
      </c>
      <c r="E91" s="10" t="inlineStr">
        <is>
          <t>44000 90245 2027 Oreo IMC Large DBL Kit — Digital Innovation Hutch Kit</t>
        </is>
      </c>
      <c r="F91" s="10" t="inlineStr">
        <is>
          <t>Motion Cookie Header</t>
        </is>
      </c>
      <c r="G91" s="8" t="n">
        <v>400</v>
      </c>
      <c r="H91" s="10" t="inlineStr">
        <is>
          <t>Cookie Header</t>
        </is>
      </c>
      <c r="I91" s="8" t="n">
        <v>400</v>
      </c>
      <c r="J91" s="10" t="inlineStr">
        <is>
          <t>Gloss</t>
        </is>
      </c>
      <c r="K91" s="11" t="n">
        <v>6042.33</v>
      </c>
      <c r="L91" s="11" t="n">
        <v>6144.66</v>
      </c>
      <c r="M91" s="9" t="n">
        <v>-1.66534844889709</v>
      </c>
      <c r="N91" s="10" t="inlineStr">
        <is>
          <t>qty-tie+name(0.79)</t>
        </is>
      </c>
    </row>
    <row r="92">
      <c r="A92" s="10" t="inlineStr">
        <is>
          <t>200-999</t>
        </is>
      </c>
      <c r="B92" s="8" t="n">
        <v>224377</v>
      </c>
      <c r="C92" s="10" t="inlineStr">
        <is>
          <t>CD-260825-091053</t>
        </is>
      </c>
      <c r="D92" s="10" t="inlineStr">
        <is>
          <t>Mondelez International</t>
        </is>
      </c>
      <c r="E92" s="10" t="inlineStr">
        <is>
          <t>44000 90245 2027 Oreo IMC Large DBL Kit — Digital Innovation Hutch Kit</t>
        </is>
      </c>
      <c r="F92" s="10" t="inlineStr">
        <is>
          <t>Lock Up Header</t>
        </is>
      </c>
      <c r="G92" s="8" t="n">
        <v>400</v>
      </c>
      <c r="H92" s="10" t="inlineStr">
        <is>
          <t>Lock Up Header</t>
        </is>
      </c>
      <c r="I92" s="8" t="n">
        <v>400</v>
      </c>
      <c r="J92" s="10" t="inlineStr">
        <is>
          <t>Gloss</t>
        </is>
      </c>
      <c r="K92" s="11" t="n">
        <v>5570.02</v>
      </c>
      <c r="L92" s="11" t="n">
        <v>6367.35</v>
      </c>
      <c r="M92" s="9" t="n">
        <v>-12.52216385152379</v>
      </c>
      <c r="N92" s="10" t="inlineStr">
        <is>
          <t>qty-tie+name(1.00)</t>
        </is>
      </c>
    </row>
    <row r="93">
      <c r="A93" s="10" t="inlineStr">
        <is>
          <t>200-999</t>
        </is>
      </c>
      <c r="B93" s="8" t="n">
        <v>224377</v>
      </c>
      <c r="C93" s="10" t="inlineStr">
        <is>
          <t>CD-260825-091053</t>
        </is>
      </c>
      <c r="D93" s="10" t="inlineStr">
        <is>
          <t>Mondelez International</t>
        </is>
      </c>
      <c r="E93" s="10" t="inlineStr">
        <is>
          <t>44000 90245 2027 Oreo IMC Large DBL Kit — Digital Innovation Hutch Kit</t>
        </is>
      </c>
      <c r="F93" s="10" t="inlineStr">
        <is>
          <t>Mini Cookies</t>
        </is>
      </c>
      <c r="G93" s="8" t="n">
        <v>400</v>
      </c>
      <c r="H93" s="10" t="inlineStr">
        <is>
          <t>Mini Cookies</t>
        </is>
      </c>
      <c r="I93" s="8" t="n">
        <v>400</v>
      </c>
      <c r="J93" s="10" t="inlineStr">
        <is>
          <t>Gloss</t>
        </is>
      </c>
      <c r="K93" s="11" t="n">
        <v>1434.09</v>
      </c>
      <c r="L93" s="11" t="n">
        <v>942.23</v>
      </c>
      <c r="M93" s="9" t="n">
        <v>52.20169173131824</v>
      </c>
      <c r="N93" s="10" t="inlineStr">
        <is>
          <t>qty-tie+name(1.00)</t>
        </is>
      </c>
    </row>
    <row r="94">
      <c r="A94" s="10" t="inlineStr">
        <is>
          <t>200-999</t>
        </is>
      </c>
      <c r="B94" s="8" t="n">
        <v>224377</v>
      </c>
      <c r="C94" s="10" t="inlineStr">
        <is>
          <t>CD-260825-091053</t>
        </is>
      </c>
      <c r="D94" s="10" t="inlineStr">
        <is>
          <t>Mondelez International</t>
        </is>
      </c>
      <c r="E94" s="10" t="inlineStr">
        <is>
          <t>44000 90245 2027 Oreo IMC Large DBL Kit — Digital Innovation Hutch Kit</t>
        </is>
      </c>
      <c r="F94" s="10" t="inlineStr">
        <is>
          <t>Battery Motor Holders</t>
        </is>
      </c>
      <c r="G94" s="8" t="n">
        <v>400</v>
      </c>
      <c r="H94" s="10" t="n">
        <v/>
      </c>
      <c r="I94" s="8" t="n"/>
      <c r="J94" s="10" t="n"/>
      <c r="K94" s="11" t="n">
        <v>4884.83</v>
      </c>
      <c r="L94" s="11" t="n"/>
      <c r="M94" s="9" t="n"/>
      <c r="N94" s="10" t="inlineStr">
        <is>
          <t>unmatched</t>
        </is>
      </c>
    </row>
    <row r="95">
      <c r="A95" s="10" t="inlineStr">
        <is>
          <t>200-999</t>
        </is>
      </c>
      <c r="B95" s="8" t="n">
        <v>224377</v>
      </c>
      <c r="C95" s="10" t="inlineStr">
        <is>
          <t>CD-260825-091053</t>
        </is>
      </c>
      <c r="D95" s="10" t="inlineStr">
        <is>
          <t>Mondelez International</t>
        </is>
      </c>
      <c r="E95" s="10" t="inlineStr">
        <is>
          <t>44000 90245 2027 Oreo IMC Large DBL Kit — Digital Innovation Hutch Kit</t>
        </is>
      </c>
      <c r="F95" s="10" t="inlineStr">
        <is>
          <t>Bottom Cap</t>
        </is>
      </c>
      <c r="G95" s="8" t="n">
        <v>400</v>
      </c>
      <c r="H95" s="10" t="inlineStr">
        <is>
          <t>Bottom Cap</t>
        </is>
      </c>
      <c r="I95" s="8" t="n">
        <v>400</v>
      </c>
      <c r="J95" s="10" t="n"/>
      <c r="K95" s="11" t="n">
        <v>9324.5</v>
      </c>
      <c r="L95" s="11" t="n">
        <v>6085.96</v>
      </c>
      <c r="M95" s="9" t="n">
        <v>53.213297491275</v>
      </c>
      <c r="N95" s="10" t="inlineStr">
        <is>
          <t>qty-tie+name(1.00)</t>
        </is>
      </c>
    </row>
    <row r="96">
      <c r="A96" s="10" t="inlineStr">
        <is>
          <t>200-999</t>
        </is>
      </c>
      <c r="B96" s="8" t="n">
        <v>224377</v>
      </c>
      <c r="C96" s="10" t="inlineStr">
        <is>
          <t>CD-260825-091053</t>
        </is>
      </c>
      <c r="D96" s="10" t="inlineStr">
        <is>
          <t>Mondelez International</t>
        </is>
      </c>
      <c r="E96" s="10" t="inlineStr">
        <is>
          <t>44000 90245 2027 Oreo IMC Large DBL Kit — Digital Innovation Hutch Kit</t>
        </is>
      </c>
      <c r="F96" s="10" t="inlineStr">
        <is>
          <t>12ct. HSC Bin</t>
        </is>
      </c>
      <c r="G96" s="8" t="n">
        <v>400</v>
      </c>
      <c r="H96" s="10" t="inlineStr">
        <is>
          <t>HSC Bin</t>
        </is>
      </c>
      <c r="I96" s="8" t="n">
        <v>68</v>
      </c>
      <c r="J96" s="10" t="n"/>
      <c r="K96" s="11" t="n">
        <v>4899.57</v>
      </c>
      <c r="L96" s="11" t="n">
        <v>1098.44</v>
      </c>
      <c r="M96" s="9" t="n">
        <v>346.048031754124</v>
      </c>
      <c r="N96" s="10" t="inlineStr">
        <is>
          <t>name(0.70)</t>
        </is>
      </c>
    </row>
    <row r="97">
      <c r="A97" s="10" t="inlineStr">
        <is>
          <t>200-999</t>
        </is>
      </c>
      <c r="B97" s="8" t="n">
        <v>223454</v>
      </c>
      <c r="C97" s="10" t="inlineStr">
        <is>
          <t>RW-260727-101129</t>
        </is>
      </c>
      <c r="D97" s="10" t="inlineStr">
        <is>
          <t>PCA - Akron</t>
        </is>
      </c>
      <c r="E97" s="10" t="inlineStr">
        <is>
          <t>8FT LED Tubes / 95053687</t>
        </is>
      </c>
      <c r="F97" s="10" t="inlineStr">
        <is>
          <t>5PF</t>
        </is>
      </c>
      <c r="G97" s="8" t="n">
        <v>220</v>
      </c>
      <c r="H97" s="10" t="n">
        <v>95053687</v>
      </c>
      <c r="I97" s="8" t="n">
        <v>220</v>
      </c>
      <c r="J97" s="10" t="inlineStr">
        <is>
          <t>Satin</t>
        </is>
      </c>
      <c r="K97" s="11" t="n">
        <v>5824.4</v>
      </c>
      <c r="L97" s="11" t="n">
        <v>6164.32</v>
      </c>
      <c r="M97" s="9" t="n">
        <v>-5.514314636488698</v>
      </c>
      <c r="N97" s="10" t="inlineStr">
        <is>
          <t>qty-unique</t>
        </is>
      </c>
    </row>
    <row r="98">
      <c r="A98" s="10" t="inlineStr">
        <is>
          <t>200-999</t>
        </is>
      </c>
      <c r="B98" s="8" t="n">
        <v>223591</v>
      </c>
      <c r="C98" s="10" t="inlineStr">
        <is>
          <t>RW-260722-082345</t>
        </is>
      </c>
      <c r="D98" s="10" t="inlineStr">
        <is>
          <t>PCA - Akron</t>
        </is>
      </c>
      <c r="E98" s="10" t="inlineStr">
        <is>
          <t>Vitamix digital pricing for orders</t>
        </is>
      </c>
      <c r="F98" s="10" t="inlineStr">
        <is>
          <t>RSC</t>
        </is>
      </c>
      <c r="G98" s="8" t="n">
        <v>250</v>
      </c>
      <c r="H98" s="10" t="inlineStr">
        <is>
          <t>#3070262606-1 / Combo Carton</t>
        </is>
      </c>
      <c r="I98" s="8" t="n">
        <v>250</v>
      </c>
      <c r="J98" s="10" t="inlineStr">
        <is>
          <t>Gloss</t>
        </is>
      </c>
      <c r="K98" s="11" t="n">
        <v>6773.57</v>
      </c>
      <c r="L98" s="11" t="n">
        <v>6549.08</v>
      </c>
      <c r="M98" s="9" t="n">
        <v>3.427809707623052</v>
      </c>
      <c r="N98" s="10" t="inlineStr">
        <is>
          <t>qty-unique</t>
        </is>
      </c>
    </row>
    <row r="99">
      <c r="A99" s="10" t="inlineStr">
        <is>
          <t>200-999</t>
        </is>
      </c>
      <c r="B99" s="8" t="n">
        <v>223591</v>
      </c>
      <c r="C99" s="10" t="inlineStr">
        <is>
          <t>RW-260722-082345</t>
        </is>
      </c>
      <c r="D99" s="10" t="inlineStr">
        <is>
          <t>PCA - Akron</t>
        </is>
      </c>
      <c r="E99" s="10" t="inlineStr">
        <is>
          <t>Vitamix digital pricing for orders</t>
        </is>
      </c>
      <c r="F99" s="10" t="inlineStr">
        <is>
          <t>RSC</t>
        </is>
      </c>
      <c r="G99" s="8" t="n">
        <v>300</v>
      </c>
      <c r="H99" s="10" t="inlineStr">
        <is>
          <t>#3070262606-1 / Combo Carton</t>
        </is>
      </c>
      <c r="I99" s="8" t="n">
        <v>300</v>
      </c>
      <c r="J99" s="10" t="inlineStr">
        <is>
          <t>Gloss</t>
        </is>
      </c>
      <c r="K99" s="11" t="n">
        <v>8044.68</v>
      </c>
      <c r="L99" s="11" t="n">
        <v>7577.35</v>
      </c>
      <c r="M99" s="9" t="n">
        <v>6.16745959999208</v>
      </c>
      <c r="N99" s="10" t="inlineStr">
        <is>
          <t>qty-unique</t>
        </is>
      </c>
    </row>
    <row r="100">
      <c r="A100" s="10" t="inlineStr">
        <is>
          <t>200-999</t>
        </is>
      </c>
      <c r="B100" s="8" t="n">
        <v>223702</v>
      </c>
      <c r="C100" s="10" t="inlineStr">
        <is>
          <t>RW-260720-132349</t>
        </is>
      </c>
      <c r="D100" s="10" t="inlineStr">
        <is>
          <t>PCA - Akron</t>
        </is>
      </c>
      <c r="E100" s="10" t="inlineStr">
        <is>
          <t>Vitamix 154042 POP - 2pc / 154727</t>
        </is>
      </c>
      <c r="F100" s="10" t="inlineStr">
        <is>
          <t>Vitamix POP Component 1 of 2</t>
        </is>
      </c>
      <c r="G100" s="8" t="n">
        <v>250</v>
      </c>
      <c r="H100" s="10" t="n">
        <v/>
      </c>
      <c r="I100" s="8" t="n"/>
      <c r="J100" s="10" t="inlineStr">
        <is>
          <t>Gloss</t>
        </is>
      </c>
      <c r="K100" s="11" t="n">
        <v>3767.42</v>
      </c>
      <c r="L100" s="11" t="n"/>
      <c r="M100" s="9" t="n"/>
      <c r="N100" s="10" t="inlineStr">
        <is>
          <t>unmatched</t>
        </is>
      </c>
    </row>
    <row r="101">
      <c r="A101" s="10" t="inlineStr">
        <is>
          <t>200-999</t>
        </is>
      </c>
      <c r="B101" s="8" t="n">
        <v>223702</v>
      </c>
      <c r="C101" s="10" t="inlineStr">
        <is>
          <t>RW-260720-132349</t>
        </is>
      </c>
      <c r="D101" s="10" t="inlineStr">
        <is>
          <t>PCA - Akron</t>
        </is>
      </c>
      <c r="E101" s="10" t="inlineStr">
        <is>
          <t>Vitamix 154042 POP - 2pc / 154727</t>
        </is>
      </c>
      <c r="F101" s="10" t="inlineStr">
        <is>
          <t>Vitamix POP Component 2 of 2</t>
        </is>
      </c>
      <c r="G101" s="8" t="n">
        <v>250</v>
      </c>
      <c r="H101" s="10" t="n">
        <v/>
      </c>
      <c r="I101" s="8" t="n"/>
      <c r="J101" s="10" t="inlineStr">
        <is>
          <t>Gloss</t>
        </is>
      </c>
      <c r="K101" s="11" t="n">
        <v>3767.42</v>
      </c>
      <c r="L101" s="11" t="n"/>
      <c r="M101" s="9" t="n"/>
      <c r="N101" s="10" t="inlineStr">
        <is>
          <t>unmatched</t>
        </is>
      </c>
    </row>
    <row r="102">
      <c r="A102" s="10" t="inlineStr">
        <is>
          <t>200-999</t>
        </is>
      </c>
      <c r="B102" s="8" t="n">
        <v>223702</v>
      </c>
      <c r="C102" s="10" t="inlineStr">
        <is>
          <t>RW-260720-132349</t>
        </is>
      </c>
      <c r="D102" s="10" t="inlineStr">
        <is>
          <t>PCA - Akron</t>
        </is>
      </c>
      <c r="E102" s="10" t="inlineStr">
        <is>
          <t>Vitamix 154042 POP - 2pc / 154727</t>
        </is>
      </c>
      <c r="F102" s="10" t="inlineStr">
        <is>
          <t>Vitamix POP Component 1 of 2</t>
        </is>
      </c>
      <c r="G102" s="8" t="n">
        <v>500</v>
      </c>
      <c r="H102" s="10" t="n">
        <v/>
      </c>
      <c r="I102" s="8" t="n"/>
      <c r="J102" s="10" t="inlineStr">
        <is>
          <t>Gloss</t>
        </is>
      </c>
      <c r="K102" s="11" t="n">
        <v>6895.23</v>
      </c>
      <c r="L102" s="11" t="n"/>
      <c r="M102" s="9" t="n"/>
      <c r="N102" s="10" t="inlineStr">
        <is>
          <t>unmatched</t>
        </is>
      </c>
    </row>
    <row r="103">
      <c r="A103" s="10" t="inlineStr">
        <is>
          <t>200-999</t>
        </is>
      </c>
      <c r="B103" s="8" t="n">
        <v>223702</v>
      </c>
      <c r="C103" s="10" t="inlineStr">
        <is>
          <t>RW-260720-132349</t>
        </is>
      </c>
      <c r="D103" s="10" t="inlineStr">
        <is>
          <t>PCA - Akron</t>
        </is>
      </c>
      <c r="E103" s="10" t="inlineStr">
        <is>
          <t>Vitamix 154042 POP - 2pc / 154727</t>
        </is>
      </c>
      <c r="F103" s="10" t="inlineStr">
        <is>
          <t>Vitamix POP Component 2 of 2</t>
        </is>
      </c>
      <c r="G103" s="8" t="n">
        <v>500</v>
      </c>
      <c r="H103" s="10" t="n">
        <v/>
      </c>
      <c r="I103" s="8" t="n"/>
      <c r="J103" s="10" t="inlineStr">
        <is>
          <t>Gloss</t>
        </is>
      </c>
      <c r="K103" s="11" t="n">
        <v>6895.23</v>
      </c>
      <c r="L103" s="11" t="n"/>
      <c r="M103" s="9" t="n"/>
      <c r="N103" s="10" t="inlineStr">
        <is>
          <t>unmatched</t>
        </is>
      </c>
    </row>
    <row r="104">
      <c r="A104" s="10" t="inlineStr">
        <is>
          <t>200-999</t>
        </is>
      </c>
      <c r="B104" s="8" t="n">
        <v>224271</v>
      </c>
      <c r="C104" s="10" t="inlineStr">
        <is>
          <t>FD-260827-065038</t>
        </is>
      </c>
      <c r="D104" s="10" t="inlineStr">
        <is>
          <t>PCA - Ashland</t>
        </is>
      </c>
      <c r="E104" s="10" t="n">
        <v/>
      </c>
      <c r="F104" s="10" t="inlineStr">
        <is>
          <t>Item 1 - Box</t>
        </is>
      </c>
      <c r="G104" s="8" t="n">
        <v>300</v>
      </c>
      <c r="H104" s="10" t="n">
        <v/>
      </c>
      <c r="I104" s="8" t="n"/>
      <c r="J104" s="10" t="inlineStr">
        <is>
          <t>Satin</t>
        </is>
      </c>
      <c r="K104" s="11" t="n">
        <v>8366.52</v>
      </c>
      <c r="L104" s="11" t="n"/>
      <c r="M104" s="9" t="n"/>
      <c r="N104" s="10" t="inlineStr">
        <is>
          <t>no-iq-rows</t>
        </is>
      </c>
    </row>
    <row r="105">
      <c r="A105" s="10" t="inlineStr">
        <is>
          <t>200-999</t>
        </is>
      </c>
      <c r="B105" s="8" t="n">
        <v>224271</v>
      </c>
      <c r="C105" s="10" t="inlineStr">
        <is>
          <t>FD-260827-065038</t>
        </is>
      </c>
      <c r="D105" s="10" t="inlineStr">
        <is>
          <t>PCA - Ashland</t>
        </is>
      </c>
      <c r="E105" s="10" t="n">
        <v/>
      </c>
      <c r="F105" s="10" t="inlineStr">
        <is>
          <t>Item 2 - Insert</t>
        </is>
      </c>
      <c r="G105" s="8" t="n">
        <v>300</v>
      </c>
      <c r="H105" s="10" t="n">
        <v/>
      </c>
      <c r="I105" s="8" t="n"/>
      <c r="J105" s="10" t="n"/>
      <c r="K105" s="11" t="n">
        <v>4779.73</v>
      </c>
      <c r="L105" s="11" t="n"/>
      <c r="M105" s="9" t="n"/>
      <c r="N105" s="10" t="inlineStr">
        <is>
          <t>no-iq-rows</t>
        </is>
      </c>
    </row>
    <row r="106">
      <c r="A106" s="10" t="inlineStr">
        <is>
          <t>200-999</t>
        </is>
      </c>
      <c r="B106" s="8" t="n">
        <v>224454</v>
      </c>
      <c r="C106" s="10" t="inlineStr">
        <is>
          <t>FD-260827-072046</t>
        </is>
      </c>
      <c r="D106" s="10" t="inlineStr">
        <is>
          <t>PCA - Ashland</t>
        </is>
      </c>
      <c r="E106" s="10" t="n">
        <v/>
      </c>
      <c r="F106" s="10" t="inlineStr">
        <is>
          <t>Tray</t>
        </is>
      </c>
      <c r="G106" s="8" t="n">
        <v>315</v>
      </c>
      <c r="H106" s="10" t="inlineStr">
        <is>
          <t>#9440244875-1 - Tray</t>
        </is>
      </c>
      <c r="I106" s="8" t="n">
        <v>315</v>
      </c>
      <c r="J106" s="10" t="inlineStr">
        <is>
          <t>Gloss</t>
        </is>
      </c>
      <c r="K106" s="11" t="n">
        <v>2180.6</v>
      </c>
      <c r="L106" s="11" t="n">
        <v>3399.13</v>
      </c>
      <c r="M106" s="9" t="n">
        <v>-35.84829059200443</v>
      </c>
      <c r="N106" s="10" t="inlineStr">
        <is>
          <t>exact</t>
        </is>
      </c>
    </row>
    <row r="107">
      <c r="A107" s="10" t="inlineStr">
        <is>
          <t>200-999</t>
        </is>
      </c>
      <c r="B107" s="8" t="n">
        <v>223538</v>
      </c>
      <c r="C107" s="10" t="inlineStr">
        <is>
          <t>RW-260727-093930</t>
        </is>
      </c>
      <c r="D107" s="10" t="inlineStr">
        <is>
          <t>PCA - New Oxford</t>
        </is>
      </c>
      <c r="E107" s="10" t="inlineStr">
        <is>
          <t>Natures Bounty Tray &amp; Graphic Block - J58302</t>
        </is>
      </c>
      <c r="F107" s="10" t="inlineStr">
        <is>
          <t>PDQ Tray</t>
        </is>
      </c>
      <c r="G107" s="8" t="n">
        <v>350</v>
      </c>
      <c r="H107" s="10" t="inlineStr">
        <is>
          <t>J45424-01 PDQ Tray</t>
        </is>
      </c>
      <c r="I107" s="8" t="n">
        <v>350</v>
      </c>
      <c r="J107" s="10" t="inlineStr">
        <is>
          <t>Satin</t>
        </is>
      </c>
      <c r="K107" s="11" t="n">
        <v>3776.74</v>
      </c>
      <c r="L107" s="11" t="n">
        <v>4645.82</v>
      </c>
      <c r="M107" s="9" t="n">
        <v>-18.70670839593441</v>
      </c>
      <c r="N107" s="10" t="inlineStr">
        <is>
          <t>qty-tie+name(0.62)</t>
        </is>
      </c>
    </row>
    <row r="108">
      <c r="A108" s="10" t="inlineStr">
        <is>
          <t>200-999</t>
        </is>
      </c>
      <c r="B108" s="8" t="n">
        <v>223583</v>
      </c>
      <c r="C108" s="10" t="inlineStr">
        <is>
          <t>RW-260722-092124</t>
        </is>
      </c>
      <c r="D108" s="10" t="inlineStr">
        <is>
          <t>PCA - New Oxford</t>
        </is>
      </c>
      <c r="E108" s="10" t="inlineStr">
        <is>
          <t>J63068 - Moen Lowes Prepacks (Project 7655)</t>
        </is>
      </c>
      <c r="F108" s="10" t="inlineStr">
        <is>
          <t>Item 1</t>
        </is>
      </c>
      <c r="G108" s="8" t="n">
        <v>919</v>
      </c>
      <c r="H108" s="10" t="n">
        <v>222300</v>
      </c>
      <c r="I108" s="8" t="n">
        <v>919</v>
      </c>
      <c r="J108" s="10" t="inlineStr">
        <is>
          <t>Gloss</t>
        </is>
      </c>
      <c r="K108" s="11" t="n">
        <v>3540.66</v>
      </c>
      <c r="L108" s="11" t="n">
        <v>6590.63</v>
      </c>
      <c r="M108" s="9" t="n">
        <v>-46.27736650365747</v>
      </c>
      <c r="N108" s="10" t="inlineStr">
        <is>
          <t>qty-unique</t>
        </is>
      </c>
    </row>
    <row r="109">
      <c r="A109" s="10" t="inlineStr">
        <is>
          <t>200-999</t>
        </is>
      </c>
      <c r="B109" s="8" t="n">
        <v>223583</v>
      </c>
      <c r="C109" s="10" t="inlineStr">
        <is>
          <t>RW-260722-092124</t>
        </is>
      </c>
      <c r="D109" s="10" t="inlineStr">
        <is>
          <t>PCA - New Oxford</t>
        </is>
      </c>
      <c r="E109" s="10" t="inlineStr">
        <is>
          <t>J63068 - Moen Lowes Prepacks (Project 7655)</t>
        </is>
      </c>
      <c r="F109" s="10" t="inlineStr">
        <is>
          <t>Item 2</t>
        </is>
      </c>
      <c r="G109" s="8" t="n">
        <v>919</v>
      </c>
      <c r="H109" s="10" t="n">
        <v/>
      </c>
      <c r="I109" s="8" t="n"/>
      <c r="J109" s="10" t="inlineStr">
        <is>
          <t>Gloss</t>
        </is>
      </c>
      <c r="K109" s="11" t="n">
        <v>5716.13</v>
      </c>
      <c r="L109" s="11" t="n"/>
      <c r="M109" s="9" t="n"/>
      <c r="N109" s="10" t="inlineStr">
        <is>
          <t>unmatched</t>
        </is>
      </c>
    </row>
    <row r="110">
      <c r="A110" s="10" t="inlineStr">
        <is>
          <t>200-999</t>
        </is>
      </c>
      <c r="B110" s="8" t="n">
        <v>223860</v>
      </c>
      <c r="C110" s="10" t="inlineStr">
        <is>
          <t>RW-260731-115427</t>
        </is>
      </c>
      <c r="D110" s="10" t="inlineStr">
        <is>
          <t>PCA - New Oxford</t>
        </is>
      </c>
      <c r="E110" s="10" t="inlineStr">
        <is>
          <t>J63240 - Sam's Club Filtration Pallet Display</t>
        </is>
      </c>
      <c r="F110" s="10" t="inlineStr">
        <is>
          <t>Back Filler</t>
        </is>
      </c>
      <c r="G110" s="8" t="n">
        <v>270</v>
      </c>
      <c r="H110" s="10" t="n">
        <v/>
      </c>
      <c r="I110" s="8" t="n"/>
      <c r="J110" s="10" t="inlineStr">
        <is>
          <t>Gloss</t>
        </is>
      </c>
      <c r="K110" s="11" t="n">
        <v>2209.69</v>
      </c>
      <c r="L110" s="11" t="n"/>
      <c r="M110" s="9" t="n"/>
      <c r="N110" s="10" t="inlineStr">
        <is>
          <t>unmatched</t>
        </is>
      </c>
    </row>
    <row r="111">
      <c r="A111" s="10" t="inlineStr">
        <is>
          <t>200-999</t>
        </is>
      </c>
      <c r="B111" s="8" t="n">
        <v>223957</v>
      </c>
      <c r="C111" s="10" t="inlineStr">
        <is>
          <t>RW-260820-091152</t>
        </is>
      </c>
      <c r="D111" s="10" t="inlineStr">
        <is>
          <t>PCA Cheswick</t>
        </is>
      </c>
      <c r="E111" s="10" t="inlineStr">
        <is>
          <t>C11 26 MNY WM Cryo Primer &amp; Spray Sidekick 130799</t>
        </is>
      </c>
      <c r="F111" s="10" t="inlineStr">
        <is>
          <t>Main Body</t>
        </is>
      </c>
      <c r="G111" s="8" t="n">
        <v>480</v>
      </c>
      <c r="H111" s="10" t="inlineStr">
        <is>
          <t>Main Body</t>
        </is>
      </c>
      <c r="I111" s="8" t="n">
        <v>480</v>
      </c>
      <c r="J111" s="10" t="inlineStr">
        <is>
          <t>Gloss</t>
        </is>
      </c>
      <c r="K111" s="11" t="n">
        <v>4562</v>
      </c>
      <c r="L111" s="11" t="n">
        <v>4977.03</v>
      </c>
      <c r="M111" s="9" t="n">
        <v>-8.338908947705756</v>
      </c>
      <c r="N111" s="10" t="inlineStr">
        <is>
          <t>exact</t>
        </is>
      </c>
    </row>
    <row r="112">
      <c r="A112" s="10" t="inlineStr">
        <is>
          <t>200-999</t>
        </is>
      </c>
      <c r="B112" s="8" t="n">
        <v>223957</v>
      </c>
      <c r="C112" s="10" t="inlineStr">
        <is>
          <t>RW-260820-091152</t>
        </is>
      </c>
      <c r="D112" s="10" t="inlineStr">
        <is>
          <t>PCA Cheswick</t>
        </is>
      </c>
      <c r="E112" s="10" t="inlineStr">
        <is>
          <t>C11 26 MNY WM Cryo Primer &amp; Spray Sidekick 130799</t>
        </is>
      </c>
      <c r="F112" s="10" t="inlineStr">
        <is>
          <t>Shelves</t>
        </is>
      </c>
      <c r="G112" s="8" t="n">
        <v>480</v>
      </c>
      <c r="H112" s="10" t="inlineStr">
        <is>
          <t>Riser</t>
        </is>
      </c>
      <c r="I112" s="8" t="n">
        <v>480</v>
      </c>
      <c r="J112" s="10" t="inlineStr">
        <is>
          <t>Gloss</t>
        </is>
      </c>
      <c r="K112" s="11" t="n">
        <v>5701.48</v>
      </c>
      <c r="L112" s="11" t="n">
        <v>1366.32</v>
      </c>
      <c r="M112" s="9" t="n">
        <v>317.2873119035073</v>
      </c>
      <c r="N112" s="10" t="inlineStr">
        <is>
          <t>exact</t>
        </is>
      </c>
    </row>
    <row r="113">
      <c r="A113" s="10" t="inlineStr">
        <is>
          <t>200-999</t>
        </is>
      </c>
      <c r="B113" s="8" t="n">
        <v>222151</v>
      </c>
      <c r="C113" s="10" t="inlineStr">
        <is>
          <t>RW-260804-165029</t>
        </is>
      </c>
      <c r="D113" s="10" t="inlineStr">
        <is>
          <t>PCA Pennsylvania Acquisition Corporation</t>
        </is>
      </c>
      <c r="E113" s="10" t="inlineStr">
        <is>
          <t>Black Cat Header</t>
        </is>
      </c>
      <c r="F113" s="10" t="inlineStr">
        <is>
          <t>Display Header</t>
        </is>
      </c>
      <c r="G113" s="8" t="n">
        <v>500</v>
      </c>
      <c r="H113" s="10" t="inlineStr">
        <is>
          <t>Header</t>
        </is>
      </c>
      <c r="I113" s="8" t="n">
        <v>500</v>
      </c>
      <c r="J113" s="10" t="inlineStr">
        <is>
          <t>Gloss</t>
        </is>
      </c>
      <c r="K113" s="11" t="n">
        <v>1485.69</v>
      </c>
      <c r="L113" s="11" t="n">
        <v>1215.77</v>
      </c>
      <c r="M113" s="9" t="n">
        <v>22.20156773073855</v>
      </c>
      <c r="N113" s="10" t="inlineStr">
        <is>
          <t>qty-unique</t>
        </is>
      </c>
    </row>
    <row r="114">
      <c r="A114" s="10" t="inlineStr">
        <is>
          <t>200-999</t>
        </is>
      </c>
      <c r="B114" s="8" t="n">
        <v>223596</v>
      </c>
      <c r="C114" s="10" t="inlineStr">
        <is>
          <t>RW-260722-085112</t>
        </is>
      </c>
      <c r="D114" s="10" t="inlineStr">
        <is>
          <t>PCA Pennsylvania Acquisition Corporation</t>
        </is>
      </c>
      <c r="E114" s="10" t="inlineStr">
        <is>
          <t>RFQ Scotts 07-09-26</t>
        </is>
      </c>
      <c r="F114" s="10" t="inlineStr">
        <is>
          <t xml:space="preserve">Mini Pallet Band </t>
        </is>
      </c>
      <c r="G114" s="8" t="n">
        <v>700</v>
      </c>
      <c r="H114" s="10" t="inlineStr">
        <is>
          <t>DS5993</t>
        </is>
      </c>
      <c r="I114" s="8" t="n">
        <v>700</v>
      </c>
      <c r="J114" s="10" t="inlineStr">
        <is>
          <t>Satin</t>
        </is>
      </c>
      <c r="K114" s="11" t="n">
        <v>4562.66</v>
      </c>
      <c r="L114" s="11" t="n">
        <v>3926.5</v>
      </c>
      <c r="M114" s="9" t="n">
        <v>16.20170635425951</v>
      </c>
      <c r="N114" s="10" t="inlineStr">
        <is>
          <t>qty-unique</t>
        </is>
      </c>
    </row>
    <row r="115">
      <c r="A115" s="10" t="inlineStr">
        <is>
          <t>200-999</t>
        </is>
      </c>
      <c r="B115" s="8" t="n">
        <v>223596</v>
      </c>
      <c r="C115" s="10" t="inlineStr">
        <is>
          <t>RW-260722-085112</t>
        </is>
      </c>
      <c r="D115" s="10" t="inlineStr">
        <is>
          <t>PCA Pennsylvania Acquisition Corporation</t>
        </is>
      </c>
      <c r="E115" s="10" t="inlineStr">
        <is>
          <t>RFQ Scotts 07-09-26</t>
        </is>
      </c>
      <c r="F115" s="10" t="inlineStr">
        <is>
          <t>Mini Pallet Band</t>
        </is>
      </c>
      <c r="G115" s="8" t="n">
        <v>700</v>
      </c>
      <c r="H115" s="10" t="n">
        <v/>
      </c>
      <c r="I115" s="8" t="n"/>
      <c r="J115" s="10" t="inlineStr">
        <is>
          <t>Satin</t>
        </is>
      </c>
      <c r="K115" s="11" t="n">
        <v>3307.2</v>
      </c>
      <c r="L115" s="11" t="n"/>
      <c r="M115" s="9" t="n"/>
      <c r="N115" s="10" t="inlineStr">
        <is>
          <t>unmatched</t>
        </is>
      </c>
    </row>
    <row r="116">
      <c r="A116" s="10" t="inlineStr">
        <is>
          <t>200-999</t>
        </is>
      </c>
      <c r="B116" s="8" t="n">
        <v>224464</v>
      </c>
      <c r="C116" s="10" t="inlineStr">
        <is>
          <t>FD-260827-073537</t>
        </is>
      </c>
      <c r="D116" s="10" t="inlineStr">
        <is>
          <t>PCA Pennsylvania Acquisition Corporation</t>
        </is>
      </c>
      <c r="E116" s="10" t="n">
        <v/>
      </c>
      <c r="F116" s="10" t="inlineStr">
        <is>
          <t>Item 1 - Main Body</t>
        </is>
      </c>
      <c r="G116" s="8" t="n">
        <v>480</v>
      </c>
      <c r="H116" s="10" t="inlineStr">
        <is>
          <t>Main Body</t>
        </is>
      </c>
      <c r="I116" s="8" t="n">
        <v>480</v>
      </c>
      <c r="J116" s="10" t="inlineStr">
        <is>
          <t>Gloss</t>
        </is>
      </c>
      <c r="K116" s="11" t="n">
        <v>6561.27</v>
      </c>
      <c r="L116" s="11" t="n">
        <v>6204.25</v>
      </c>
      <c r="M116" s="9" t="n">
        <v>5.75444251924085</v>
      </c>
      <c r="N116" s="10" t="inlineStr">
        <is>
          <t>exact</t>
        </is>
      </c>
    </row>
    <row r="117">
      <c r="A117" s="10" t="inlineStr">
        <is>
          <t>200-999</t>
        </is>
      </c>
      <c r="B117" s="8" t="n">
        <v>224464</v>
      </c>
      <c r="C117" s="10" t="inlineStr">
        <is>
          <t>FD-260827-073537</t>
        </is>
      </c>
      <c r="D117" s="10" t="inlineStr">
        <is>
          <t>PCA Pennsylvania Acquisition Corporation</t>
        </is>
      </c>
      <c r="E117" s="10" t="n">
        <v/>
      </c>
      <c r="F117" s="10" t="inlineStr">
        <is>
          <t>Item 2 - Shelves</t>
        </is>
      </c>
      <c r="G117" s="8" t="n">
        <v>480</v>
      </c>
      <c r="H117" s="10" t="inlineStr">
        <is>
          <t>Riser</t>
        </is>
      </c>
      <c r="I117" s="8" t="n">
        <v>480</v>
      </c>
      <c r="J117" s="10" t="inlineStr">
        <is>
          <t>Gloss</t>
        </is>
      </c>
      <c r="K117" s="11" t="n">
        <v>3718.67</v>
      </c>
      <c r="L117" s="11" t="n">
        <v>1429.46</v>
      </c>
      <c r="M117" s="9" t="n">
        <v>160.1450897541729</v>
      </c>
      <c r="N117" s="10" t="inlineStr">
        <is>
          <t>exact</t>
        </is>
      </c>
    </row>
    <row r="118">
      <c r="A118" s="10" t="inlineStr">
        <is>
          <t>200-999</t>
        </is>
      </c>
      <c r="B118" s="8" t="n">
        <v>222085</v>
      </c>
      <c r="C118" s="10" t="inlineStr">
        <is>
          <t>RW-260622-133707</t>
        </is>
      </c>
      <c r="D118" s="10" t="inlineStr">
        <is>
          <t>Packaging Corporation of America</t>
        </is>
      </c>
      <c r="E118" s="10" t="inlineStr">
        <is>
          <t>Strat Pro Buttermelt PDQ - 2nd Grouping</t>
        </is>
      </c>
      <c r="F118" s="10" t="inlineStr">
        <is>
          <t>D/C Tray - Digital Print</t>
        </is>
      </c>
      <c r="G118" s="8" t="n">
        <v>515</v>
      </c>
      <c r="H118" s="10" t="n">
        <v/>
      </c>
      <c r="I118" s="8" t="n"/>
      <c r="J118" s="10" t="inlineStr">
        <is>
          <t>Satin</t>
        </is>
      </c>
      <c r="K118" s="11" t="n">
        <v>3104.88</v>
      </c>
      <c r="L118" s="11" t="n"/>
      <c r="M118" s="9" t="n"/>
      <c r="N118" s="10" t="inlineStr">
        <is>
          <t>unmatched</t>
        </is>
      </c>
    </row>
    <row r="119">
      <c r="A119" s="10" t="inlineStr">
        <is>
          <t>200-999</t>
        </is>
      </c>
      <c r="B119" s="8" t="n">
        <v>222085</v>
      </c>
      <c r="C119" s="10" t="inlineStr">
        <is>
          <t>RW-260622-133707</t>
        </is>
      </c>
      <c r="D119" s="10" t="inlineStr">
        <is>
          <t>Packaging Corporation of America</t>
        </is>
      </c>
      <c r="E119" s="10" t="inlineStr">
        <is>
          <t>Strat Pro Buttermelt PDQ - 2nd Grouping</t>
        </is>
      </c>
      <c r="F119" s="10" t="inlineStr">
        <is>
          <t>RSC Shipper - Direct Print 1C, Glued</t>
        </is>
      </c>
      <c r="G119" s="8" t="n">
        <v>515</v>
      </c>
      <c r="H119" s="10" t="n">
        <v/>
      </c>
      <c r="I119" s="8" t="n"/>
      <c r="J119" s="10" t="inlineStr">
        <is>
          <t>Satin</t>
        </is>
      </c>
      <c r="K119" s="11" t="n">
        <v>2686.87</v>
      </c>
      <c r="L119" s="11" t="n"/>
      <c r="M119" s="9" t="n"/>
      <c r="N119" s="10" t="inlineStr">
        <is>
          <t>unmatched</t>
        </is>
      </c>
    </row>
    <row r="120">
      <c r="A120" s="10" t="inlineStr">
        <is>
          <t>200-999</t>
        </is>
      </c>
      <c r="B120" s="8" t="n">
        <v>223752</v>
      </c>
      <c r="C120" s="10" t="inlineStr">
        <is>
          <t>RW-260720-083107</t>
        </is>
      </c>
      <c r="D120" s="10" t="inlineStr">
        <is>
          <t>Packaging Corporation of America</t>
        </is>
      </c>
      <c r="E120" s="10" t="inlineStr">
        <is>
          <t>TSC Holiday Iams Cat Mixed Full Pallet</t>
        </is>
      </c>
      <c r="F120" s="10" t="inlineStr">
        <is>
          <t>Corner Graphic</t>
        </is>
      </c>
      <c r="G120" s="8" t="n">
        <v>600</v>
      </c>
      <c r="H120" s="10" t="inlineStr">
        <is>
          <t>Corner Graphic</t>
        </is>
      </c>
      <c r="I120" s="8" t="n">
        <v>600</v>
      </c>
      <c r="J120" s="10" t="inlineStr">
        <is>
          <t>Gloss</t>
        </is>
      </c>
      <c r="K120" s="11" t="n">
        <v>3418.16</v>
      </c>
      <c r="L120" s="11" t="n">
        <v>2931.56</v>
      </c>
      <c r="M120" s="9" t="n">
        <v>16.59867101474983</v>
      </c>
      <c r="N120" s="10" t="inlineStr">
        <is>
          <t>qty-unique</t>
        </is>
      </c>
    </row>
    <row r="121">
      <c r="A121" s="10" t="inlineStr">
        <is>
          <t>200-999</t>
        </is>
      </c>
      <c r="B121" s="8" t="n">
        <v>222490</v>
      </c>
      <c r="C121" s="10" t="inlineStr">
        <is>
          <t>RW-260806-100307</t>
        </is>
      </c>
      <c r="D121" s="10" t="inlineStr">
        <is>
          <t>Skybox Packaging, LLC</t>
        </is>
      </c>
      <c r="E121" s="10" t="inlineStr">
        <is>
          <t xml:space="preserve">MTD Case#9360 </t>
        </is>
      </c>
      <c r="F121" s="10" t="inlineStr">
        <is>
          <t>645-90567</t>
        </is>
      </c>
      <c r="G121" s="8" t="n">
        <v>500</v>
      </c>
      <c r="H121" s="10" t="inlineStr">
        <is>
          <t>MRO5895</t>
        </is>
      </c>
      <c r="I121" s="8" t="n">
        <v>500</v>
      </c>
      <c r="J121" s="10" t="inlineStr">
        <is>
          <t>Gloss</t>
        </is>
      </c>
      <c r="K121" s="11" t="n">
        <v>4563.63</v>
      </c>
      <c r="L121" s="11" t="n">
        <v>4315.72</v>
      </c>
      <c r="M121" s="9" t="n">
        <v>5.744348567562303</v>
      </c>
      <c r="N121" s="10" t="inlineStr">
        <is>
          <t>qty-unique</t>
        </is>
      </c>
    </row>
    <row r="122">
      <c r="A122" s="10" t="inlineStr">
        <is>
          <t>200-999</t>
        </is>
      </c>
      <c r="B122" s="8" t="n">
        <v>223207</v>
      </c>
      <c r="C122" s="10" t="inlineStr">
        <is>
          <t>RW-260623-091031</t>
        </is>
      </c>
      <c r="D122" s="10" t="inlineStr">
        <is>
          <t>Skybox Packaging, LLC</t>
        </is>
      </c>
      <c r="E122" s="10" t="inlineStr">
        <is>
          <t>PO 47928 / MTD 645-90566A</t>
        </is>
      </c>
      <c r="F122" s="10" t="inlineStr">
        <is>
          <t>D/C Non-Joined</t>
        </is>
      </c>
      <c r="G122" s="8" t="n">
        <v>210</v>
      </c>
      <c r="H122" s="10" t="inlineStr">
        <is>
          <t>MRO6052</t>
        </is>
      </c>
      <c r="I122" s="8" t="n">
        <v>210</v>
      </c>
      <c r="J122" s="10" t="inlineStr">
        <is>
          <t>Satin</t>
        </is>
      </c>
      <c r="K122" s="11" t="n">
        <v>1752.51</v>
      </c>
      <c r="L122" s="11" t="n">
        <v>1826.19</v>
      </c>
      <c r="M122" s="9" t="n">
        <v>-4.034629474479658</v>
      </c>
      <c r="N122" s="10" t="inlineStr">
        <is>
          <t>qty-unique</t>
        </is>
      </c>
    </row>
    <row r="123">
      <c r="A123" s="10" t="inlineStr">
        <is>
          <t>200-999</t>
        </is>
      </c>
      <c r="B123" s="8" t="n">
        <v>223327</v>
      </c>
      <c r="C123" s="10" t="inlineStr">
        <is>
          <t>RW-260804-155659</t>
        </is>
      </c>
      <c r="D123" s="10" t="inlineStr">
        <is>
          <t>Skybox Packaging, LLC</t>
        </is>
      </c>
      <c r="E123" s="10" t="inlineStr">
        <is>
          <t>ICM Spring Insert</t>
        </is>
      </c>
      <c r="F123" s="10" t="inlineStr">
        <is>
          <t>D/C Tray</t>
        </is>
      </c>
      <c r="G123" s="8" t="n">
        <v>200</v>
      </c>
      <c r="H123" s="10" t="inlineStr">
        <is>
          <t>Z112204-1</t>
        </is>
      </c>
      <c r="I123" s="8" t="n">
        <v>200</v>
      </c>
      <c r="J123" s="10" t="n"/>
      <c r="K123" s="11" t="n">
        <v>1032.73</v>
      </c>
      <c r="L123" s="11" t="n">
        <v>960.48</v>
      </c>
      <c r="M123" s="9" t="n">
        <v>7.522280526403464</v>
      </c>
      <c r="N123" s="10" t="inlineStr">
        <is>
          <t>qty-unique</t>
        </is>
      </c>
    </row>
    <row r="124">
      <c r="A124" s="10" t="inlineStr">
        <is>
          <t>200-999</t>
        </is>
      </c>
      <c r="B124" s="8" t="n">
        <v>223327</v>
      </c>
      <c r="C124" s="10" t="inlineStr">
        <is>
          <t>RW-260804-155659</t>
        </is>
      </c>
      <c r="D124" s="10" t="inlineStr">
        <is>
          <t>Skybox Packaging, LLC</t>
        </is>
      </c>
      <c r="E124" s="10" t="inlineStr">
        <is>
          <t>ICM Spring Insert</t>
        </is>
      </c>
      <c r="F124" s="10" t="inlineStr">
        <is>
          <t>D/C Tray</t>
        </is>
      </c>
      <c r="G124" s="8" t="n">
        <v>400</v>
      </c>
      <c r="H124" s="10" t="inlineStr">
        <is>
          <t>Z112204-1</t>
        </is>
      </c>
      <c r="I124" s="8" t="n">
        <v>400</v>
      </c>
      <c r="J124" s="10" t="n"/>
      <c r="K124" s="11" t="n">
        <v>1462.5</v>
      </c>
      <c r="L124" s="11" t="n">
        <v>1255.07</v>
      </c>
      <c r="M124" s="9" t="n">
        <v>16.52736500752946</v>
      </c>
      <c r="N124" s="10" t="inlineStr">
        <is>
          <t>qty-unique</t>
        </is>
      </c>
    </row>
    <row r="125">
      <c r="A125" s="10" t="inlineStr">
        <is>
          <t>200-999</t>
        </is>
      </c>
      <c r="B125" s="8" t="n">
        <v>223327</v>
      </c>
      <c r="C125" s="10" t="inlineStr">
        <is>
          <t>RW-260804-155659</t>
        </is>
      </c>
      <c r="D125" s="10" t="inlineStr">
        <is>
          <t>Skybox Packaging, LLC</t>
        </is>
      </c>
      <c r="E125" s="10" t="inlineStr">
        <is>
          <t>ICM Spring Insert</t>
        </is>
      </c>
      <c r="F125" s="10" t="inlineStr">
        <is>
          <t>D/C Tray</t>
        </is>
      </c>
      <c r="G125" s="8" t="n">
        <v>600</v>
      </c>
      <c r="H125" s="10" t="inlineStr">
        <is>
          <t>Z112204-1</t>
        </is>
      </c>
      <c r="I125" s="8" t="n">
        <v>600</v>
      </c>
      <c r="J125" s="10" t="n"/>
      <c r="K125" s="11" t="n">
        <v>2085.77</v>
      </c>
      <c r="L125" s="11" t="n">
        <v>1544.43</v>
      </c>
      <c r="M125" s="9" t="n">
        <v>35.05111918312905</v>
      </c>
      <c r="N125" s="10" t="inlineStr">
        <is>
          <t>qty-unique</t>
        </is>
      </c>
    </row>
    <row r="126">
      <c r="A126" s="10" t="inlineStr">
        <is>
          <t>200-999</t>
        </is>
      </c>
      <c r="B126" s="8" t="n">
        <v>223864</v>
      </c>
      <c r="C126" s="10" t="inlineStr">
        <is>
          <t>CS-260803-133009</t>
        </is>
      </c>
      <c r="D126" s="10" t="inlineStr">
        <is>
          <t>Skybox Packaging, LLC</t>
        </is>
      </c>
      <c r="E126" s="10" t="inlineStr">
        <is>
          <t>Targeted Pet Treats - Country Kitchen Promotional Shipper</t>
        </is>
      </c>
      <c r="F126" s="10" t="inlineStr">
        <is>
          <t>Abound Display Base</t>
        </is>
      </c>
      <c r="G126" s="8" t="n">
        <v>500</v>
      </c>
      <c r="H126" s="10" t="inlineStr">
        <is>
          <t>MRO31492 Display Base</t>
        </is>
      </c>
      <c r="I126" s="8" t="n">
        <v>500</v>
      </c>
      <c r="J126" s="10" t="inlineStr">
        <is>
          <t>Satin</t>
        </is>
      </c>
      <c r="K126" s="11" t="n">
        <v>6202.52</v>
      </c>
      <c r="L126" s="11" t="n">
        <v>8017.34</v>
      </c>
      <c r="M126" s="9" t="n">
        <v>-22.63618606670042</v>
      </c>
      <c r="N126" s="10" t="inlineStr">
        <is>
          <t>qty-tie+name(0.70)</t>
        </is>
      </c>
    </row>
    <row r="127">
      <c r="A127" s="10" t="inlineStr">
        <is>
          <t>200-999</t>
        </is>
      </c>
      <c r="B127" s="8" t="n">
        <v>224218</v>
      </c>
      <c r="C127" s="10" t="inlineStr">
        <is>
          <t>CS-260818-112454</t>
        </is>
      </c>
      <c r="D127" s="10" t="inlineStr">
        <is>
          <t>Skybox Packaging, LLC</t>
        </is>
      </c>
      <c r="E127" s="10" t="inlineStr">
        <is>
          <t>F104954</t>
        </is>
      </c>
      <c r="F127" s="10" t="inlineStr">
        <is>
          <t>RSC</t>
        </is>
      </c>
      <c r="G127" s="8" t="n">
        <v>500</v>
      </c>
      <c r="H127" s="10" t="inlineStr">
        <is>
          <t>MRO34751</t>
        </is>
      </c>
      <c r="I127" s="8" t="n">
        <v>500</v>
      </c>
      <c r="J127" s="10" t="inlineStr">
        <is>
          <t>Satin</t>
        </is>
      </c>
      <c r="K127" s="11" t="n">
        <v>3012.49</v>
      </c>
      <c r="L127" s="11" t="n">
        <v>2290.18</v>
      </c>
      <c r="M127" s="9" t="n">
        <v>31.53944231457789</v>
      </c>
      <c r="N127" s="10" t="inlineStr">
        <is>
          <t>qty-unique</t>
        </is>
      </c>
    </row>
    <row r="128">
      <c r="A128" s="10" t="inlineStr">
        <is>
          <t>200-999</t>
        </is>
      </c>
      <c r="B128" s="8" t="n">
        <v>223701</v>
      </c>
      <c r="C128" s="10" t="inlineStr">
        <is>
          <t>RW-260720-133223</t>
        </is>
      </c>
      <c r="D128" s="10" t="inlineStr">
        <is>
          <t>Tavens</t>
        </is>
      </c>
      <c r="E128" s="10" t="inlineStr">
        <is>
          <t>TR-10351 16x8.5x6</t>
        </is>
      </c>
      <c r="F128" s="10" t="inlineStr">
        <is>
          <t>Front Tuck Mailer 16x8.5x6</t>
        </is>
      </c>
      <c r="G128" s="8" t="n">
        <v>200</v>
      </c>
      <c r="H128" s="10" t="n">
        <v/>
      </c>
      <c r="I128" s="8" t="n"/>
      <c r="J128" s="10" t="inlineStr">
        <is>
          <t>Gloss</t>
        </is>
      </c>
      <c r="K128" s="11" t="n">
        <v>3138.14</v>
      </c>
      <c r="L128" s="11" t="n"/>
      <c r="M128" s="9" t="n"/>
      <c r="N128" s="10" t="inlineStr">
        <is>
          <t>unmatched</t>
        </is>
      </c>
    </row>
    <row r="129">
      <c r="A129" s="10" t="inlineStr">
        <is>
          <t>200-999</t>
        </is>
      </c>
      <c r="B129" s="8" t="n">
        <v>223689</v>
      </c>
      <c r="C129" s="10" t="inlineStr">
        <is>
          <t>RW-260720-134257</t>
        </is>
      </c>
      <c r="D129" s="10" t="inlineStr">
        <is>
          <t>Veritiv Operating Company</t>
        </is>
      </c>
      <c r="E129" s="10" t="inlineStr">
        <is>
          <t>Schaeffler Vehicle Lifetime P-17-EC-K251 87X87X43-INA Schachtel TEST</t>
        </is>
      </c>
      <c r="F129" s="10" t="inlineStr">
        <is>
          <t>Digital direct print folding-style carton</t>
        </is>
      </c>
      <c r="G129" s="8" t="n">
        <v>700</v>
      </c>
      <c r="H129" s="10" t="inlineStr">
        <is>
          <t>Carton</t>
        </is>
      </c>
      <c r="I129" s="8" t="n">
        <v>700</v>
      </c>
      <c r="J129" s="10" t="inlineStr">
        <is>
          <t>Gloss</t>
        </is>
      </c>
      <c r="K129" s="11" t="n">
        <v>5753.95</v>
      </c>
      <c r="L129" s="11" t="n">
        <v>4904.67</v>
      </c>
      <c r="M129" s="9" t="n">
        <v>17.31574193574695</v>
      </c>
      <c r="N129" s="10" t="inlineStr">
        <is>
          <t>qty-unique</t>
        </is>
      </c>
    </row>
    <row r="130">
      <c r="A130" s="10" t="inlineStr">
        <is>
          <t>200-999</t>
        </is>
      </c>
      <c r="B130" s="8" t="n">
        <v>222557</v>
      </c>
      <c r="C130" s="10" t="inlineStr">
        <is>
          <t>RW-260806-112750</t>
        </is>
      </c>
      <c r="D130" s="10" t="n">
        <v/>
      </c>
      <c r="E130" s="10" t="inlineStr">
        <is>
          <t>Kroger Corn Display Rework</t>
        </is>
      </c>
      <c r="F130" s="10" t="inlineStr">
        <is>
          <t>D/C Non-Joined</t>
        </is>
      </c>
      <c r="G130" s="8" t="n">
        <v>250</v>
      </c>
      <c r="H130" s="10" t="n">
        <v/>
      </c>
      <c r="I130" s="8" t="n"/>
      <c r="J130" s="10" t="inlineStr">
        <is>
          <t>Gloss</t>
        </is>
      </c>
      <c r="K130" s="11" t="n">
        <v>6487.97</v>
      </c>
      <c r="L130" s="11" t="n"/>
      <c r="M130" s="9" t="n"/>
      <c r="N130" s="10" t="inlineStr">
        <is>
          <t>no-iq-rows</t>
        </is>
      </c>
    </row>
    <row r="131">
      <c r="A131" s="10" t="inlineStr">
        <is>
          <t>200-999</t>
        </is>
      </c>
      <c r="B131" s="8" t="n">
        <v>223575</v>
      </c>
      <c r="C131" s="10" t="inlineStr">
        <is>
          <t>RW-260722-095152</t>
        </is>
      </c>
      <c r="D131" s="10" t="n">
        <v/>
      </c>
      <c r="E131" s="10" t="n">
        <v/>
      </c>
      <c r="F131" s="10" t="inlineStr">
        <is>
          <t>Display Header</t>
        </is>
      </c>
      <c r="G131" s="8" t="n">
        <v>500</v>
      </c>
      <c r="H131" s="10" t="inlineStr">
        <is>
          <t>Header</t>
        </is>
      </c>
      <c r="I131" s="8" t="n">
        <v>500</v>
      </c>
      <c r="J131" s="10" t="inlineStr">
        <is>
          <t>Satin</t>
        </is>
      </c>
      <c r="K131" s="11" t="n">
        <v>1288.67</v>
      </c>
      <c r="L131" s="11" t="n">
        <v>985.09</v>
      </c>
      <c r="M131" s="9" t="n">
        <v>30.81748875737242</v>
      </c>
      <c r="N131" s="10" t="inlineStr">
        <is>
          <t>qty-unique</t>
        </is>
      </c>
    </row>
    <row r="132">
      <c r="A132" s="10" t="inlineStr">
        <is>
          <t>200-999</t>
        </is>
      </c>
      <c r="B132" s="8" t="n">
        <v>223583</v>
      </c>
      <c r="C132" s="10" t="inlineStr">
        <is>
          <t>RW-260720-082503</t>
        </is>
      </c>
      <c r="D132" s="10" t="n">
        <v/>
      </c>
      <c r="E132" s="10" t="inlineStr">
        <is>
          <t>J63068 - Moen Lowes Prepacks (Project 7655)</t>
        </is>
      </c>
      <c r="F132" s="10" t="inlineStr">
        <is>
          <t xml:space="preserve">Header </t>
        </is>
      </c>
      <c r="G132" s="8" t="n">
        <v>918</v>
      </c>
      <c r="H132" s="10" t="n">
        <v/>
      </c>
      <c r="I132" s="8" t="n"/>
      <c r="J132" s="10" t="inlineStr">
        <is>
          <t>Gloss</t>
        </is>
      </c>
      <c r="K132" s="11" t="n">
        <v>3144.51</v>
      </c>
      <c r="L132" s="11" t="n"/>
      <c r="M132" s="9" t="n"/>
      <c r="N132" s="10" t="inlineStr">
        <is>
          <t>unmatched</t>
        </is>
      </c>
    </row>
    <row r="133">
      <c r="A133" s="10" t="inlineStr">
        <is>
          <t>200-999</t>
        </is>
      </c>
      <c r="B133" s="8" t="n">
        <v>223583</v>
      </c>
      <c r="C133" s="10" t="inlineStr">
        <is>
          <t>RW-260720-082503</t>
        </is>
      </c>
      <c r="D133" s="10" t="n">
        <v/>
      </c>
      <c r="E133" s="10" t="inlineStr">
        <is>
          <t>J63068 - Moen Lowes Prepacks (Project 7655)</t>
        </is>
      </c>
      <c r="F133" s="10" t="inlineStr">
        <is>
          <t xml:space="preserve">Header </t>
        </is>
      </c>
      <c r="G133" s="8" t="n">
        <v>918</v>
      </c>
      <c r="H133" s="10" t="n">
        <v/>
      </c>
      <c r="I133" s="8" t="n"/>
      <c r="J133" s="10" t="inlineStr">
        <is>
          <t>Gloss</t>
        </is>
      </c>
      <c r="K133" s="11" t="n">
        <v>5286.17</v>
      </c>
      <c r="L133" s="11" t="n"/>
      <c r="M133" s="9" t="n"/>
      <c r="N133" s="10" t="inlineStr">
        <is>
          <t>unmatched</t>
        </is>
      </c>
    </row>
    <row r="134">
      <c r="A134" s="10" t="inlineStr">
        <is>
          <t>200-999</t>
        </is>
      </c>
      <c r="B134" s="8" t="n">
        <v>223597</v>
      </c>
      <c r="C134" s="10" t="inlineStr">
        <is>
          <t>RW-260721-135500</t>
        </is>
      </c>
      <c r="D134" s="10" t="n">
        <v/>
      </c>
      <c r="E134" s="10" t="inlineStr">
        <is>
          <t>New Piston Kit</t>
        </is>
      </c>
      <c r="F134" s="10" t="inlineStr">
        <is>
          <t>Front Tuck w/ Partition</t>
        </is>
      </c>
      <c r="G134" s="8" t="n">
        <v>250</v>
      </c>
      <c r="H134" s="10" t="inlineStr">
        <is>
          <t>TAV24-0772</t>
        </is>
      </c>
      <c r="I134" s="8" t="n">
        <v>250</v>
      </c>
      <c r="J134" s="10" t="inlineStr">
        <is>
          <t>Gloss</t>
        </is>
      </c>
      <c r="K134" s="11" t="n">
        <v>3176.43</v>
      </c>
      <c r="L134" s="11" t="n">
        <v>2749.42</v>
      </c>
      <c r="M134" s="9" t="n">
        <v>15.53091197416182</v>
      </c>
      <c r="N134" s="10" t="inlineStr">
        <is>
          <t>qty-unique</t>
        </is>
      </c>
    </row>
    <row r="135">
      <c r="A135" s="10" t="inlineStr">
        <is>
          <t>200-999</t>
        </is>
      </c>
      <c r="B135" s="8" t="n">
        <v>223882</v>
      </c>
      <c r="C135" s="10" t="inlineStr">
        <is>
          <t>CS-260803-140508</t>
        </is>
      </c>
      <c r="D135" s="10" t="n">
        <v/>
      </c>
      <c r="E135" s="10" t="inlineStr">
        <is>
          <t>SpectroDolce - Fudge Tray Display</t>
        </is>
      </c>
      <c r="F135" s="10" t="inlineStr">
        <is>
          <t>Die Cut Tray</t>
        </is>
      </c>
      <c r="G135" s="8" t="n">
        <v>500</v>
      </c>
      <c r="H135" s="10" t="inlineStr">
        <is>
          <t>Tray</t>
        </is>
      </c>
      <c r="I135" s="8" t="n">
        <v>500</v>
      </c>
      <c r="J135" s="10" t="inlineStr">
        <is>
          <t>Satin</t>
        </is>
      </c>
      <c r="K135" s="11" t="n">
        <v>2497.65</v>
      </c>
      <c r="L135" s="11" t="n">
        <v>1961.23</v>
      </c>
      <c r="M135" s="9" t="n">
        <v>27.35120307154184</v>
      </c>
      <c r="N135" s="10" t="inlineStr">
        <is>
          <t>qty-unique</t>
        </is>
      </c>
    </row>
    <row r="136">
      <c r="A136" s="10" t="inlineStr">
        <is>
          <t>200-999</t>
        </is>
      </c>
      <c r="B136" s="8" t="n">
        <v>224271</v>
      </c>
      <c r="C136" s="10" t="inlineStr">
        <is>
          <t>FD-260820-100212</t>
        </is>
      </c>
      <c r="D136" s="10" t="n">
        <v/>
      </c>
      <c r="E136" s="10" t="n">
        <v/>
      </c>
      <c r="F136" s="10" t="inlineStr">
        <is>
          <t>Box</t>
        </is>
      </c>
      <c r="G136" s="8" t="n">
        <v>300</v>
      </c>
      <c r="H136" s="10" t="inlineStr">
        <is>
          <t>Insert</t>
        </is>
      </c>
      <c r="I136" s="8" t="n">
        <v>300</v>
      </c>
      <c r="J136" s="10" t="inlineStr">
        <is>
          <t>Satin</t>
        </is>
      </c>
      <c r="K136" s="11" t="n">
        <v>4571.31</v>
      </c>
      <c r="L136" s="11" t="n">
        <v>1669.82</v>
      </c>
      <c r="M136" s="9" t="n">
        <v>173.7606448599251</v>
      </c>
      <c r="N136" s="10" t="inlineStr">
        <is>
          <t>exact</t>
        </is>
      </c>
    </row>
    <row r="137">
      <c r="A137" s="10" t="inlineStr">
        <is>
          <t>200-999</t>
        </is>
      </c>
      <c r="B137" s="8" t="n">
        <v>224271</v>
      </c>
      <c r="C137" s="10" t="inlineStr">
        <is>
          <t>FD-260820-100212</t>
        </is>
      </c>
      <c r="D137" s="10" t="n">
        <v/>
      </c>
      <c r="E137" s="10" t="n">
        <v/>
      </c>
      <c r="F137" s="10" t="inlineStr">
        <is>
          <t>Insert</t>
        </is>
      </c>
      <c r="G137" s="8" t="n">
        <v>300</v>
      </c>
      <c r="H137" s="10" t="inlineStr">
        <is>
          <t>Box</t>
        </is>
      </c>
      <c r="I137" s="8" t="n">
        <v>300</v>
      </c>
      <c r="J137" s="10" t="n"/>
      <c r="K137" s="11" t="n">
        <v>1736.21</v>
      </c>
      <c r="L137" s="11" t="n">
        <v>5739.63</v>
      </c>
      <c r="M137" s="9" t="n">
        <v>-69.75048914302839</v>
      </c>
      <c r="N137" s="10" t="inlineStr">
        <is>
          <t>exact</t>
        </is>
      </c>
    </row>
    <row r="138">
      <c r="A138" s="10" t="inlineStr">
        <is>
          <t>1000-4999</t>
        </is>
      </c>
      <c r="B138" s="8" t="n">
        <v>222220</v>
      </c>
      <c r="C138" s="10" t="inlineStr">
        <is>
          <t>CS-260805-145422</t>
        </is>
      </c>
      <c r="D138" s="10" t="inlineStr">
        <is>
          <t>PCA - Akron</t>
        </is>
      </c>
      <c r="E138" s="10" t="inlineStr">
        <is>
          <t>GE Savant Dynamic Effects Smart Bulb A19 60W</t>
        </is>
      </c>
      <c r="F138" s="10" t="inlineStr">
        <is>
          <t>Die Cut</t>
        </is>
      </c>
      <c r="G138" s="8" t="n">
        <v>1500</v>
      </c>
      <c r="H138" s="10" t="inlineStr">
        <is>
          <t>DL-61140</t>
        </is>
      </c>
      <c r="I138" s="8" t="n">
        <v>1500</v>
      </c>
      <c r="J138" s="10" t="inlineStr">
        <is>
          <t>Satin</t>
        </is>
      </c>
      <c r="K138" s="11" t="n">
        <v>1867.12</v>
      </c>
      <c r="L138" s="11" t="n">
        <v>1727.08</v>
      </c>
      <c r="M138" s="9" t="n">
        <v>8.108483683442572</v>
      </c>
      <c r="N138" s="10" t="inlineStr">
        <is>
          <t>qty-unique</t>
        </is>
      </c>
    </row>
    <row r="139">
      <c r="A139" s="10" t="inlineStr">
        <is>
          <t>1000-4999</t>
        </is>
      </c>
      <c r="B139" s="8" t="n">
        <v>223661</v>
      </c>
      <c r="C139" s="10" t="inlineStr">
        <is>
          <t>RW-260807-141651</t>
        </is>
      </c>
      <c r="D139" s="10" t="inlineStr">
        <is>
          <t>PCA - Ashland</t>
        </is>
      </c>
      <c r="E139" s="10" t="inlineStr">
        <is>
          <t>Serenity Lids Inc Walmart</t>
        </is>
      </c>
      <c r="F139" s="10" t="inlineStr">
        <is>
          <t>Shelf Display</t>
        </is>
      </c>
      <c r="G139" s="8" t="n">
        <v>1000</v>
      </c>
      <c r="H139" s="10" t="inlineStr">
        <is>
          <t>Display</t>
        </is>
      </c>
      <c r="I139" s="8" t="n">
        <v>1000</v>
      </c>
      <c r="J139" s="10" t="inlineStr">
        <is>
          <t>Satin</t>
        </is>
      </c>
      <c r="K139" s="11" t="n">
        <v>3468.41</v>
      </c>
      <c r="L139" s="11" t="n">
        <v>3135.29</v>
      </c>
      <c r="M139" s="9" t="n">
        <v>10.62485447917098</v>
      </c>
      <c r="N139" s="10" t="inlineStr">
        <is>
          <t>qty-unique</t>
        </is>
      </c>
    </row>
    <row r="140">
      <c r="A140" s="10" t="inlineStr">
        <is>
          <t>1000-4999</t>
        </is>
      </c>
      <c r="B140" s="8" t="n">
        <v>223707</v>
      </c>
      <c r="C140" s="10" t="inlineStr">
        <is>
          <t>RW-260720-112723</t>
        </is>
      </c>
      <c r="D140" s="10" t="inlineStr">
        <is>
          <t>PCA - Burlington</t>
        </is>
      </c>
      <c r="E140" s="10" t="inlineStr">
        <is>
          <t>Trad Favorites</t>
        </is>
      </c>
      <c r="F140" s="10" t="inlineStr">
        <is>
          <t>D/C Tray</t>
        </is>
      </c>
      <c r="G140" s="8" t="n">
        <v>1300</v>
      </c>
      <c r="H140" s="10" t="inlineStr">
        <is>
          <t>35300D11_A</t>
        </is>
      </c>
      <c r="I140" s="8" t="n">
        <v>1300</v>
      </c>
      <c r="J140" s="10" t="inlineStr">
        <is>
          <t>Gloss</t>
        </is>
      </c>
      <c r="K140" s="11" t="n">
        <v>3683.9</v>
      </c>
      <c r="L140" s="11" t="n">
        <v>5528.87</v>
      </c>
      <c r="M140" s="9" t="n">
        <v>-33.36974824873798</v>
      </c>
      <c r="N140" s="10" t="inlineStr">
        <is>
          <t>qty-unique</t>
        </is>
      </c>
    </row>
    <row r="141">
      <c r="A141" s="10" t="inlineStr">
        <is>
          <t>1000-4999</t>
        </is>
      </c>
      <c r="B141" s="8" t="n">
        <v>222151</v>
      </c>
      <c r="C141" s="10" t="inlineStr">
        <is>
          <t>RW-260804-165029</t>
        </is>
      </c>
      <c r="D141" s="10" t="inlineStr">
        <is>
          <t>PCA Pennsylvania Acquisition Corporation</t>
        </is>
      </c>
      <c r="E141" s="10" t="inlineStr">
        <is>
          <t>Black Cat Header</t>
        </is>
      </c>
      <c r="F141" s="10" t="inlineStr">
        <is>
          <t>Display Header</t>
        </is>
      </c>
      <c r="G141" s="8" t="n">
        <v>2000</v>
      </c>
      <c r="H141" s="10" t="inlineStr">
        <is>
          <t>Header</t>
        </is>
      </c>
      <c r="I141" s="8" t="n">
        <v>2000</v>
      </c>
      <c r="J141" s="10" t="inlineStr">
        <is>
          <t>Gloss</t>
        </is>
      </c>
      <c r="K141" s="11" t="n">
        <v>4215.34</v>
      </c>
      <c r="L141" s="11" t="n">
        <v>3496.62</v>
      </c>
      <c r="M141" s="9" t="n">
        <v>20.55470711715886</v>
      </c>
      <c r="N141" s="10" t="inlineStr">
        <is>
          <t>qty-unique</t>
        </is>
      </c>
    </row>
    <row r="142">
      <c r="A142" s="10" t="inlineStr">
        <is>
          <t>1000-4999</t>
        </is>
      </c>
      <c r="B142" s="8" t="n">
        <v>224374</v>
      </c>
      <c r="C142" s="10" t="inlineStr">
        <is>
          <t>RW-260826-105417</t>
        </is>
      </c>
      <c r="D142" s="10" t="inlineStr">
        <is>
          <t>PCA Pennsylvania Acquisition Corporation</t>
        </is>
      </c>
      <c r="E142" s="10" t="inlineStr">
        <is>
          <t>Mini Pallet Band</t>
        </is>
      </c>
      <c r="F142" s="10" t="inlineStr">
        <is>
          <t>Die Cut</t>
        </is>
      </c>
      <c r="G142" s="8" t="n">
        <v>1500</v>
      </c>
      <c r="H142" s="10" t="inlineStr">
        <is>
          <t>DS5994</t>
        </is>
      </c>
      <c r="I142" s="8" t="n">
        <v>1500</v>
      </c>
      <c r="J142" s="10" t="inlineStr">
        <is>
          <t>Satin</t>
        </is>
      </c>
      <c r="K142" s="11" t="n">
        <v>6709.25</v>
      </c>
      <c r="L142" s="11" t="n">
        <v>8032.63</v>
      </c>
      <c r="M142" s="9" t="n">
        <v>-16.47505238010465</v>
      </c>
      <c r="N142" s="10" t="inlineStr">
        <is>
          <t>exact</t>
        </is>
      </c>
    </row>
    <row r="143">
      <c r="A143" s="10" t="inlineStr">
        <is>
          <t>1000-4999</t>
        </is>
      </c>
      <c r="B143" s="8" t="n">
        <v>224297</v>
      </c>
      <c r="C143" s="10" t="inlineStr">
        <is>
          <t>CD-260820-151955</t>
        </is>
      </c>
      <c r="D143" s="10" t="inlineStr">
        <is>
          <t>Packaging Corporation</t>
        </is>
      </c>
      <c r="E143" s="10" t="inlineStr">
        <is>
          <t>Pallet Bands 48x40</t>
        </is>
      </c>
      <c r="F143" s="10" t="inlineStr">
        <is>
          <t>Die Cut Hand Formed</t>
        </is>
      </c>
      <c r="G143" s="8" t="n">
        <v>2000</v>
      </c>
      <c r="H143" s="10" t="inlineStr">
        <is>
          <t>3070269995-1</t>
        </is>
      </c>
      <c r="I143" s="8" t="n">
        <v>2000</v>
      </c>
      <c r="J143" s="10" t="inlineStr">
        <is>
          <t>Satin</t>
        </is>
      </c>
      <c r="K143" s="11" t="n">
        <v>8865.040000000001</v>
      </c>
      <c r="L143" s="11" t="n">
        <v>12788.71</v>
      </c>
      <c r="M143" s="9" t="n">
        <v>-30.68073324049102</v>
      </c>
      <c r="N143" s="10" t="inlineStr">
        <is>
          <t>qty-unique</t>
        </is>
      </c>
    </row>
    <row r="144">
      <c r="A144" s="10" t="inlineStr">
        <is>
          <t>1000-4999</t>
        </is>
      </c>
      <c r="B144" s="8" t="n">
        <v>224297</v>
      </c>
      <c r="C144" s="10" t="inlineStr">
        <is>
          <t>CD-260820-151955</t>
        </is>
      </c>
      <c r="D144" s="10" t="inlineStr">
        <is>
          <t>Packaging Corporation</t>
        </is>
      </c>
      <c r="E144" s="10" t="inlineStr">
        <is>
          <t>Pallet Bands 48x40</t>
        </is>
      </c>
      <c r="F144" s="10" t="inlineStr">
        <is>
          <t>Die Cut Hand Formed</t>
        </is>
      </c>
      <c r="G144" s="8" t="n">
        <v>4000</v>
      </c>
      <c r="H144" s="10" t="inlineStr">
        <is>
          <t>3070269995-1</t>
        </is>
      </c>
      <c r="I144" s="8" t="n">
        <v>4000</v>
      </c>
      <c r="J144" s="10" t="inlineStr">
        <is>
          <t>Satin</t>
        </is>
      </c>
      <c r="K144" s="11" t="n">
        <v>15860.43</v>
      </c>
      <c r="L144" s="11" t="n">
        <v>23187.31</v>
      </c>
      <c r="M144" s="9" t="n">
        <v>-31.59866323432947</v>
      </c>
      <c r="N144" s="10" t="inlineStr">
        <is>
          <t>qty-unique</t>
        </is>
      </c>
    </row>
    <row r="145">
      <c r="A145" s="10" t="inlineStr">
        <is>
          <t>1000-4999</t>
        </is>
      </c>
      <c r="B145" s="8" t="n">
        <v>222315</v>
      </c>
      <c r="C145" s="10" t="inlineStr">
        <is>
          <t>RW-260805-105526</t>
        </is>
      </c>
      <c r="D145" s="10" t="inlineStr">
        <is>
          <t>Skybox Packaging, LLC</t>
        </is>
      </c>
      <c r="E145" s="10" t="inlineStr">
        <is>
          <t>PO 47492</t>
        </is>
      </c>
      <c r="F145" s="10" t="inlineStr">
        <is>
          <t>645-90620 DIGITAL</t>
        </is>
      </c>
      <c r="G145" s="8" t="n">
        <v>1272</v>
      </c>
      <c r="H145" s="10" t="inlineStr">
        <is>
          <t xml:space="preserve">MRO15486 </t>
        </is>
      </c>
      <c r="I145" s="8" t="n">
        <v>1272</v>
      </c>
      <c r="J145" s="10" t="inlineStr">
        <is>
          <t>Gloss</t>
        </is>
      </c>
      <c r="K145" s="11" t="n">
        <v>6133.94</v>
      </c>
      <c r="L145" s="11" t="n">
        <v>5394.03</v>
      </c>
      <c r="M145" s="9" t="n">
        <v>13.71720216609844</v>
      </c>
      <c r="N145" s="10" t="inlineStr">
        <is>
          <t>qty-unique</t>
        </is>
      </c>
    </row>
    <row r="146">
      <c r="A146" s="10" t="inlineStr">
        <is>
          <t>1000-4999</t>
        </is>
      </c>
      <c r="B146" s="8" t="n">
        <v>223389</v>
      </c>
      <c r="C146" s="10" t="inlineStr">
        <is>
          <t>RW-260629-132636</t>
        </is>
      </c>
      <c r="D146" s="10" t="inlineStr">
        <is>
          <t>Skybox Packaging, LLC</t>
        </is>
      </c>
      <c r="E146" s="10" t="inlineStr">
        <is>
          <t>PKG153007274 DLN29676</t>
        </is>
      </c>
      <c r="F146" s="10" t="inlineStr">
        <is>
          <t>D/C</t>
        </is>
      </c>
      <c r="G146" s="8" t="n">
        <v>1700</v>
      </c>
      <c r="H146" s="10" t="inlineStr">
        <is>
          <t>00011195</t>
        </is>
      </c>
      <c r="I146" s="8" t="n">
        <v>1700</v>
      </c>
      <c r="J146" s="10" t="n"/>
      <c r="K146" s="11" t="n">
        <v>2768.73</v>
      </c>
      <c r="L146" s="11" t="n">
        <v>4029.71</v>
      </c>
      <c r="M146" s="9" t="n">
        <v>-31.29207808998662</v>
      </c>
      <c r="N146" s="10" t="inlineStr">
        <is>
          <t>qty-unique</t>
        </is>
      </c>
    </row>
    <row r="147">
      <c r="A147" s="10" t="inlineStr">
        <is>
          <t>1000-4999</t>
        </is>
      </c>
      <c r="B147" s="8" t="n">
        <v>223864</v>
      </c>
      <c r="C147" s="10" t="inlineStr">
        <is>
          <t>CS-260803-133009</t>
        </is>
      </c>
      <c r="D147" s="10" t="inlineStr">
        <is>
          <t>Skybox Packaging, LLC</t>
        </is>
      </c>
      <c r="E147" s="10" t="inlineStr">
        <is>
          <t>Targeted Pet Treats - Country Kitchen Promotional Shipper</t>
        </is>
      </c>
      <c r="F147" s="10" t="inlineStr">
        <is>
          <t>Abound Display Base</t>
        </is>
      </c>
      <c r="G147" s="8" t="n">
        <v>1000</v>
      </c>
      <c r="H147" s="10" t="inlineStr">
        <is>
          <t>MRO31492 Display Base</t>
        </is>
      </c>
      <c r="I147" s="8" t="n">
        <v>1000</v>
      </c>
      <c r="J147" s="10" t="inlineStr">
        <is>
          <t>Satin</t>
        </is>
      </c>
      <c r="K147" s="11" t="n">
        <v>12010.08</v>
      </c>
      <c r="L147" s="11" t="n">
        <v>14428.84</v>
      </c>
      <c r="M147" s="9" t="n">
        <v>-16.76337113725012</v>
      </c>
      <c r="N147" s="10" t="inlineStr">
        <is>
          <t>qty-tie+name(0.70)</t>
        </is>
      </c>
    </row>
    <row r="148">
      <c r="A148" s="10" t="inlineStr">
        <is>
          <t>1000-4999</t>
        </is>
      </c>
      <c r="B148" s="8" t="n">
        <v>223864</v>
      </c>
      <c r="C148" s="10" t="inlineStr">
        <is>
          <t>CS-260803-133009</t>
        </is>
      </c>
      <c r="D148" s="10" t="inlineStr">
        <is>
          <t>Skybox Packaging, LLC</t>
        </is>
      </c>
      <c r="E148" s="10" t="inlineStr">
        <is>
          <t>Targeted Pet Treats - Country Kitchen Promotional Shipper</t>
        </is>
      </c>
      <c r="F148" s="10" t="inlineStr">
        <is>
          <t>Abound Display Base</t>
        </is>
      </c>
      <c r="G148" s="8" t="n">
        <v>2000</v>
      </c>
      <c r="H148" s="10" t="inlineStr">
        <is>
          <t>MRO31492 Display Base</t>
        </is>
      </c>
      <c r="I148" s="8" t="n">
        <v>2000</v>
      </c>
      <c r="J148" s="10" t="inlineStr">
        <is>
          <t>Satin</t>
        </is>
      </c>
      <c r="K148" s="11" t="n">
        <v>20790.55</v>
      </c>
      <c r="L148" s="11" t="n">
        <v>27244.15</v>
      </c>
      <c r="M148" s="9" t="n">
        <v>-23.68802109810731</v>
      </c>
      <c r="N148" s="10" t="inlineStr">
        <is>
          <t>qty-tie+name(0.70)</t>
        </is>
      </c>
    </row>
    <row r="149">
      <c r="A149" s="10" t="inlineStr">
        <is>
          <t>1000-4999</t>
        </is>
      </c>
      <c r="B149" s="8" t="n">
        <v>222085</v>
      </c>
      <c r="C149" s="10" t="inlineStr">
        <is>
          <t>SA-260624-102657</t>
        </is>
      </c>
      <c r="D149" s="10" t="n">
        <v/>
      </c>
      <c r="E149" s="10" t="inlineStr">
        <is>
          <t>STRAT PRO BUTTERMELT PDQ - 2nd Grouping</t>
        </is>
      </c>
      <c r="F149" s="10" t="inlineStr">
        <is>
          <t>RSC shipper - 1 color direct print, glued</t>
        </is>
      </c>
      <c r="G149" s="8" t="n">
        <v>2000</v>
      </c>
      <c r="H149" s="10" t="n">
        <v/>
      </c>
      <c r="I149" s="8" t="n"/>
      <c r="J149" s="10" t="inlineStr">
        <is>
          <t>Satin</t>
        </is>
      </c>
      <c r="K149" s="11" t="n">
        <v>7759.42</v>
      </c>
      <c r="L149" s="11" t="n"/>
      <c r="M149" s="9" t="n"/>
      <c r="N149" s="10" t="inlineStr">
        <is>
          <t>unmatched</t>
        </is>
      </c>
    </row>
    <row r="150">
      <c r="A150" s="10" t="inlineStr">
        <is>
          <t>1000-4999</t>
        </is>
      </c>
      <c r="B150" s="8" t="n">
        <v>223882</v>
      </c>
      <c r="C150" s="10" t="inlineStr">
        <is>
          <t>CS-260803-140508</t>
        </is>
      </c>
      <c r="D150" s="10" t="n">
        <v/>
      </c>
      <c r="E150" s="10" t="inlineStr">
        <is>
          <t>SpectroDolce - Fudge Tray Display</t>
        </is>
      </c>
      <c r="F150" s="10" t="inlineStr">
        <is>
          <t>Die Cut Tray</t>
        </is>
      </c>
      <c r="G150" s="8" t="n">
        <v>1000</v>
      </c>
      <c r="H150" s="10" t="inlineStr">
        <is>
          <t>Tray</t>
        </is>
      </c>
      <c r="I150" s="8" t="n">
        <v>1000</v>
      </c>
      <c r="J150" s="10" t="inlineStr">
        <is>
          <t>Satin</t>
        </is>
      </c>
      <c r="K150" s="11" t="n">
        <v>3896.23</v>
      </c>
      <c r="L150" s="11" t="n">
        <v>3441.27</v>
      </c>
      <c r="M150" s="9" t="n">
        <v>13.22070049720016</v>
      </c>
      <c r="N150" s="10" t="inlineStr">
        <is>
          <t>qty-unique</t>
        </is>
      </c>
    </row>
    <row r="151">
      <c r="A151" s="10" t="inlineStr">
        <is>
          <t>5000+</t>
        </is>
      </c>
      <c r="B151" s="8" t="n">
        <v>224297</v>
      </c>
      <c r="C151" s="10" t="inlineStr">
        <is>
          <t>CD-260820-151955</t>
        </is>
      </c>
      <c r="D151" s="10" t="inlineStr">
        <is>
          <t>Packaging Corporation</t>
        </is>
      </c>
      <c r="E151" s="10" t="inlineStr">
        <is>
          <t>Pallet Bands 48x40</t>
        </is>
      </c>
      <c r="F151" s="10" t="inlineStr">
        <is>
          <t>Die Cut Hand Formed</t>
        </is>
      </c>
      <c r="G151" s="8" t="n">
        <v>6000</v>
      </c>
      <c r="H151" s="10" t="inlineStr">
        <is>
          <t>3070269995-1</t>
        </is>
      </c>
      <c r="I151" s="8" t="n">
        <v>6000</v>
      </c>
      <c r="J151" s="10" t="inlineStr">
        <is>
          <t>Satin</t>
        </is>
      </c>
      <c r="K151" s="11" t="n">
        <v>23574.19</v>
      </c>
      <c r="L151" s="11" t="n">
        <v>34360.47</v>
      </c>
      <c r="M151" s="9" t="n">
        <v>-31.39153800864774</v>
      </c>
      <c r="N151" s="10" t="inlineStr">
        <is>
          <t>qty-unique</t>
        </is>
      </c>
    </row>
    <row r="152">
      <c r="A152" s="10" t="inlineStr">
        <is>
          <t>5000+</t>
        </is>
      </c>
      <c r="B152" s="8" t="n">
        <v>224297</v>
      </c>
      <c r="C152" s="10" t="inlineStr">
        <is>
          <t>CD-260820-151955</t>
        </is>
      </c>
      <c r="D152" s="10" t="inlineStr">
        <is>
          <t>Packaging Corporation</t>
        </is>
      </c>
      <c r="E152" s="10" t="inlineStr">
        <is>
          <t>Pallet Bands 48x40</t>
        </is>
      </c>
      <c r="F152" s="10" t="inlineStr">
        <is>
          <t>Die Cut Hand Formed</t>
        </is>
      </c>
      <c r="G152" s="8" t="n">
        <v>8000</v>
      </c>
      <c r="H152" s="10" t="inlineStr">
        <is>
          <t>3070269995-1</t>
        </is>
      </c>
      <c r="I152" s="8" t="n">
        <v>8000</v>
      </c>
      <c r="J152" s="10" t="inlineStr">
        <is>
          <t>Satin</t>
        </is>
      </c>
      <c r="K152" s="11" t="n">
        <v>31182.43</v>
      </c>
      <c r="L152" s="11" t="n">
        <v>44382.09</v>
      </c>
      <c r="M152" s="9" t="n">
        <v>-29.74096082451276</v>
      </c>
      <c r="N152" s="10" t="inlineStr">
        <is>
          <t>qty-unique</t>
        </is>
      </c>
    </row>
    <row r="153">
      <c r="A153" s="10" t="inlineStr">
        <is>
          <t>5000+</t>
        </is>
      </c>
      <c r="B153" s="8" t="n">
        <v>224297</v>
      </c>
      <c r="C153" s="10" t="inlineStr">
        <is>
          <t>CD-260820-151955</t>
        </is>
      </c>
      <c r="D153" s="10" t="inlineStr">
        <is>
          <t>Packaging Corporation</t>
        </is>
      </c>
      <c r="E153" s="10" t="inlineStr">
        <is>
          <t>Pallet Bands 48x40</t>
        </is>
      </c>
      <c r="F153" s="10" t="inlineStr">
        <is>
          <t>Die Cut Hand Formed</t>
        </is>
      </c>
      <c r="G153" s="8" t="n">
        <v>10000</v>
      </c>
      <c r="H153" s="10" t="inlineStr">
        <is>
          <t>3070269995-1</t>
        </is>
      </c>
      <c r="I153" s="8" t="n">
        <v>10000</v>
      </c>
      <c r="J153" s="10" t="inlineStr">
        <is>
          <t>Satin</t>
        </is>
      </c>
      <c r="K153" s="11" t="n">
        <v>38887.38</v>
      </c>
      <c r="L153" s="11" t="n">
        <v>54453.13</v>
      </c>
      <c r="M153" s="9" t="n">
        <v>-28.58559278410626</v>
      </c>
      <c r="N153" s="10" t="inlineStr">
        <is>
          <t>qty-unique</t>
        </is>
      </c>
    </row>
  </sheetData>
  <autoFilter ref="A4:N153"/>
  <mergeCells count="2">
    <mergeCell ref="A2:L2"/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26" customWidth="1" min="4" max="4"/>
    <col width="38" customWidth="1" min="5" max="5"/>
    <col width="26" customWidth="1" min="6" max="6"/>
    <col width="10" customWidth="1" min="7" max="7"/>
    <col width="26" customWidth="1" min="8" max="8"/>
    <col width="10" customWidth="1" min="9" max="9"/>
    <col width="14" customWidth="1" min="10" max="10"/>
    <col width="16" customWidth="1" min="11" max="11"/>
    <col width="16" customWidth="1" min="12" max="12"/>
    <col width="14" customWidth="1" min="13" max="13"/>
    <col width="20" customWidth="1" min="14" max="14"/>
  </cols>
  <sheetData>
    <row r="1">
      <c r="A1" s="1" t="inlineStr">
        <is>
          <t>Unmatched — Component List (v2, corrected join)</t>
        </is>
      </c>
    </row>
    <row r="2">
      <c r="A2" s="2" t="inlineStr">
        <is>
          <t>Rows are components. Match Method shows how each SPOT row was paired to iQuote.</t>
        </is>
      </c>
    </row>
    <row r="4">
      <c r="A4" s="6" t="inlineStr">
        <is>
          <t>Qty Band</t>
        </is>
      </c>
      <c r="B4" s="6" t="inlineStr">
        <is>
          <t>iQuote Estimate #</t>
        </is>
      </c>
      <c r="C4" s="6" t="inlineStr">
        <is>
          <t>SPOT Estimate #</t>
        </is>
      </c>
      <c r="D4" s="6" t="inlineStr">
        <is>
          <t>Customer</t>
        </is>
      </c>
      <c r="E4" s="6" t="inlineStr">
        <is>
          <t>Project Name</t>
        </is>
      </c>
      <c r="F4" s="6" t="inlineStr">
        <is>
          <t>SPOT Component</t>
        </is>
      </c>
      <c r="G4" s="6" t="inlineStr">
        <is>
          <t>Qty</t>
        </is>
      </c>
      <c r="H4" s="6" t="inlineStr">
        <is>
          <t>iQuote Product</t>
        </is>
      </c>
      <c r="I4" s="6" t="inlineStr">
        <is>
          <t>iQuote Qty</t>
        </is>
      </c>
      <c r="J4" s="6" t="inlineStr">
        <is>
          <t>Print Mode</t>
        </is>
      </c>
      <c r="K4" s="6" t="inlineStr">
        <is>
          <t>SPOT Sell Total</t>
        </is>
      </c>
      <c r="L4" s="6" t="inlineStr">
        <is>
          <t>iQuote Total</t>
        </is>
      </c>
      <c r="M4" s="6" t="inlineStr">
        <is>
          <t>Variance %</t>
        </is>
      </c>
      <c r="N4" s="6" t="inlineStr">
        <is>
          <t>Match Method</t>
        </is>
      </c>
    </row>
    <row r="5">
      <c r="A5" s="10" t="inlineStr">
        <is>
          <t>1-49</t>
        </is>
      </c>
      <c r="B5" s="8" t="n">
        <v>222777</v>
      </c>
      <c r="C5" s="10" t="inlineStr">
        <is>
          <t>RW-260806-134431</t>
        </is>
      </c>
      <c r="D5" s="10" t="inlineStr">
        <is>
          <t>Apex Display Group</t>
        </is>
      </c>
      <c r="E5" s="10" t="inlineStr">
        <is>
          <t>1528-31 4 Shelf Hutch Clipped Mockup</t>
        </is>
      </c>
      <c r="F5" s="10" t="inlineStr">
        <is>
          <t>Graphic Panel</t>
        </is>
      </c>
      <c r="G5" s="8" t="n">
        <v>2</v>
      </c>
      <c r="H5" s="10" t="n">
        <v/>
      </c>
      <c r="I5" s="8" t="n"/>
      <c r="J5" s="10" t="inlineStr">
        <is>
          <t>Satin</t>
        </is>
      </c>
      <c r="K5" s="11" t="n">
        <v>323.93</v>
      </c>
      <c r="L5" s="11" t="n"/>
      <c r="M5" s="9" t="n"/>
      <c r="N5" s="10" t="inlineStr">
        <is>
          <t>unmatched</t>
        </is>
      </c>
    </row>
    <row r="6">
      <c r="A6" s="10" t="inlineStr">
        <is>
          <t>1-49</t>
        </is>
      </c>
      <c r="B6" s="8" t="n">
        <v>222777</v>
      </c>
      <c r="C6" s="10" t="inlineStr">
        <is>
          <t>RW-260806-134431</t>
        </is>
      </c>
      <c r="D6" s="10" t="inlineStr">
        <is>
          <t>Apex Display Group</t>
        </is>
      </c>
      <c r="E6" s="10" t="inlineStr">
        <is>
          <t>1528-31 4 Shelf Hutch Clipped Mockup</t>
        </is>
      </c>
      <c r="F6" s="10" t="inlineStr">
        <is>
          <t>OPF (Outer Pallet Frame)</t>
        </is>
      </c>
      <c r="G6" s="8" t="n">
        <v>2</v>
      </c>
      <c r="H6" s="10" t="n">
        <v/>
      </c>
      <c r="I6" s="8" t="n"/>
      <c r="J6" s="10" t="n"/>
      <c r="K6" s="11" t="n">
        <v>122.54</v>
      </c>
      <c r="L6" s="11" t="n"/>
      <c r="M6" s="9" t="n"/>
      <c r="N6" s="10" t="inlineStr">
        <is>
          <t>unmatched</t>
        </is>
      </c>
    </row>
    <row r="7">
      <c r="A7" s="10" t="inlineStr">
        <is>
          <t>1-49</t>
        </is>
      </c>
      <c r="B7" s="8" t="n">
        <v>222809</v>
      </c>
      <c r="C7" s="10" t="inlineStr">
        <is>
          <t>RW-260806-155449</t>
        </is>
      </c>
      <c r="D7" s="10" t="inlineStr">
        <is>
          <t>Apex Display Group</t>
        </is>
      </c>
      <c r="E7" s="10" t="inlineStr">
        <is>
          <t>RFQ #2370-22 mockup - 36ct Mayonnaise Drop Down Hutch</t>
        </is>
      </c>
      <c r="F7" s="10" t="inlineStr">
        <is>
          <t>Hutch (1pc, 3-shelf drop-down)</t>
        </is>
      </c>
      <c r="G7" s="8" t="n">
        <v>1</v>
      </c>
      <c r="H7" s="10" t="n">
        <v/>
      </c>
      <c r="I7" s="8" t="n"/>
      <c r="J7" s="10" t="inlineStr">
        <is>
          <t>Gloss</t>
        </is>
      </c>
      <c r="K7" s="11" t="n">
        <v>366.21</v>
      </c>
      <c r="L7" s="11" t="n"/>
      <c r="M7" s="9" t="n"/>
      <c r="N7" s="10" t="inlineStr">
        <is>
          <t>unmatched</t>
        </is>
      </c>
    </row>
    <row r="8">
      <c r="A8" s="10" t="inlineStr">
        <is>
          <t>1-49</t>
        </is>
      </c>
      <c r="B8" s="8" t="n">
        <v>222809</v>
      </c>
      <c r="C8" s="10" t="inlineStr">
        <is>
          <t>RW-260806-155449</t>
        </is>
      </c>
      <c r="D8" s="10" t="inlineStr">
        <is>
          <t>Apex Display Group</t>
        </is>
      </c>
      <c r="E8" s="10" t="inlineStr">
        <is>
          <t>RFQ #2370-22 mockup - 36ct Mayonnaise Drop Down Hutch</t>
        </is>
      </c>
      <c r="F8" s="10" t="inlineStr">
        <is>
          <t>Header — 12-inch viewable (4-out die)</t>
        </is>
      </c>
      <c r="G8" s="8" t="n">
        <v>1</v>
      </c>
      <c r="H8" s="10" t="n">
        <v/>
      </c>
      <c r="I8" s="8" t="n"/>
      <c r="J8" s="10" t="inlineStr">
        <is>
          <t>Gloss</t>
        </is>
      </c>
      <c r="K8" s="11" t="n">
        <v>364.03</v>
      </c>
      <c r="L8" s="11" t="n"/>
      <c r="M8" s="9" t="n"/>
      <c r="N8" s="10" t="inlineStr">
        <is>
          <t>unmatched</t>
        </is>
      </c>
    </row>
    <row r="9">
      <c r="A9" s="10" t="inlineStr">
        <is>
          <t>1-49</t>
        </is>
      </c>
      <c r="B9" s="8" t="n">
        <v>222809</v>
      </c>
      <c r="C9" s="10" t="inlineStr">
        <is>
          <t>RW-260806-155449</t>
        </is>
      </c>
      <c r="D9" s="10" t="inlineStr">
        <is>
          <t>Apex Display Group</t>
        </is>
      </c>
      <c r="E9" s="10" t="inlineStr">
        <is>
          <t>RFQ #2370-22 mockup - 36ct Mayonnaise Drop Down Hutch</t>
        </is>
      </c>
      <c r="F9" s="10" t="inlineStr">
        <is>
          <t>Platform — 12ct (3 per blank)</t>
        </is>
      </c>
      <c r="G9" s="8" t="n">
        <v>1</v>
      </c>
      <c r="H9" s="10" t="n">
        <v/>
      </c>
      <c r="I9" s="8" t="n"/>
      <c r="J9" s="10" t="inlineStr">
        <is>
          <t>Gloss</t>
        </is>
      </c>
      <c r="K9" s="11" t="n">
        <v>317.92</v>
      </c>
      <c r="L9" s="11" t="n"/>
      <c r="M9" s="9" t="n"/>
      <c r="N9" s="10" t="inlineStr">
        <is>
          <t>unmatched</t>
        </is>
      </c>
    </row>
    <row r="10">
      <c r="A10" s="10" t="inlineStr">
        <is>
          <t>1-49</t>
        </is>
      </c>
      <c r="B10" s="8" t="n">
        <v>222809</v>
      </c>
      <c r="C10" s="10" t="inlineStr">
        <is>
          <t>RW-260806-155449</t>
        </is>
      </c>
      <c r="D10" s="10" t="inlineStr">
        <is>
          <t>Apex Display Group</t>
        </is>
      </c>
      <c r="E10" s="10" t="inlineStr">
        <is>
          <t>RFQ #2370-22 mockup - 36ct Mayonnaise Drop Down Hutch</t>
        </is>
      </c>
      <c r="F10" s="10" t="inlineStr">
        <is>
          <t>HSC Carton (top-flap, glued) — plain</t>
        </is>
      </c>
      <c r="G10" s="8" t="n">
        <v>1</v>
      </c>
      <c r="H10" s="10" t="n">
        <v/>
      </c>
      <c r="I10" s="8" t="n"/>
      <c r="J10" s="10" t="n"/>
      <c r="K10" s="11" t="n">
        <v>104</v>
      </c>
      <c r="L10" s="11" t="n"/>
      <c r="M10" s="9" t="n"/>
      <c r="N10" s="10" t="inlineStr">
        <is>
          <t>unmatched</t>
        </is>
      </c>
    </row>
    <row r="11">
      <c r="A11" s="10" t="inlineStr">
        <is>
          <t>1-49</t>
        </is>
      </c>
      <c r="B11" s="8" t="n">
        <v>222809</v>
      </c>
      <c r="C11" s="10" t="inlineStr">
        <is>
          <t>RW-260806-155449</t>
        </is>
      </c>
      <c r="D11" s="10" t="inlineStr">
        <is>
          <t>Apex Display Group</t>
        </is>
      </c>
      <c r="E11" s="10" t="inlineStr">
        <is>
          <t>RFQ #2370-22 mockup - 36ct Mayonnaise Drop Down Hutch</t>
        </is>
      </c>
      <c r="F11" s="10" t="inlineStr">
        <is>
          <t>Outer Carton — RSC 14.5 x 10.5 x 44.75, ECT 32 C Kraft/Kraft, glued, plain</t>
        </is>
      </c>
      <c r="G11" s="8" t="n">
        <v>1</v>
      </c>
      <c r="H11" s="10" t="n">
        <v/>
      </c>
      <c r="I11" s="8" t="n"/>
      <c r="J11" s="10" t="n"/>
      <c r="K11" s="11" t="n">
        <v>103.51</v>
      </c>
      <c r="L11" s="11" t="n"/>
      <c r="M11" s="9" t="n"/>
      <c r="N11" s="10" t="inlineStr">
        <is>
          <t>unmatched</t>
        </is>
      </c>
    </row>
    <row r="12">
      <c r="A12" s="10" t="inlineStr">
        <is>
          <t>1-49</t>
        </is>
      </c>
      <c r="B12" s="8" t="n">
        <v>223672</v>
      </c>
      <c r="C12" s="10" t="inlineStr">
        <is>
          <t>RW-260807-151228</t>
        </is>
      </c>
      <c r="D12" s="10" t="inlineStr">
        <is>
          <t>Apex Display Group</t>
        </is>
      </c>
      <c r="E12" s="10" t="inlineStr">
        <is>
          <t>2586-01 Universal 36/4284 Balconi</t>
        </is>
      </c>
      <c r="F12" s="10" t="inlineStr">
        <is>
          <t>Hutch</t>
        </is>
      </c>
      <c r="G12" s="8" t="n">
        <v>2</v>
      </c>
      <c r="H12" s="10" t="n">
        <v/>
      </c>
      <c r="I12" s="8" t="n"/>
      <c r="J12" s="10" t="n"/>
      <c r="K12" s="11" t="n">
        <v>117.26</v>
      </c>
      <c r="L12" s="11" t="n"/>
      <c r="M12" s="9" t="n"/>
      <c r="N12" s="10" t="inlineStr">
        <is>
          <t>unmatched</t>
        </is>
      </c>
    </row>
    <row r="13">
      <c r="A13" s="10" t="inlineStr">
        <is>
          <t>1-49</t>
        </is>
      </c>
      <c r="B13" s="8" t="n">
        <v>223672</v>
      </c>
      <c r="C13" s="10" t="inlineStr">
        <is>
          <t>RW-260807-151228</t>
        </is>
      </c>
      <c r="D13" s="10" t="inlineStr">
        <is>
          <t>Apex Display Group</t>
        </is>
      </c>
      <c r="E13" s="10" t="inlineStr">
        <is>
          <t>2586-01 Universal 36/4284 Balconi</t>
        </is>
      </c>
      <c r="F13" s="10" t="inlineStr">
        <is>
          <t>Shelf Set</t>
        </is>
      </c>
      <c r="G13" s="8" t="n">
        <v>2</v>
      </c>
      <c r="H13" s="10" t="n">
        <v/>
      </c>
      <c r="I13" s="8" t="n"/>
      <c r="J13" s="10" t="n"/>
      <c r="K13" s="11" t="n">
        <v>135.75</v>
      </c>
      <c r="L13" s="11" t="n"/>
      <c r="M13" s="9" t="n"/>
      <c r="N13" s="10" t="inlineStr">
        <is>
          <t>unmatched</t>
        </is>
      </c>
    </row>
    <row r="14">
      <c r="A14" s="10" t="inlineStr">
        <is>
          <t>1-49</t>
        </is>
      </c>
      <c r="B14" s="8" t="n">
        <v>223672</v>
      </c>
      <c r="C14" s="10" t="inlineStr">
        <is>
          <t>RW-260807-151228</t>
        </is>
      </c>
      <c r="D14" s="10" t="inlineStr">
        <is>
          <t>Apex Display Group</t>
        </is>
      </c>
      <c r="E14" s="10" t="inlineStr">
        <is>
          <t>2586-01 Universal 36/4284 Balconi</t>
        </is>
      </c>
      <c r="F14" s="10" t="inlineStr">
        <is>
          <t>Item 3</t>
        </is>
      </c>
      <c r="G14" s="8" t="n">
        <v>2</v>
      </c>
      <c r="H14" s="10" t="n">
        <v/>
      </c>
      <c r="I14" s="8" t="n"/>
      <c r="J14" s="10" t="inlineStr">
        <is>
          <t>Satin</t>
        </is>
      </c>
      <c r="K14" s="11" t="n">
        <v>313.74</v>
      </c>
      <c r="L14" s="11" t="n"/>
      <c r="M14" s="9" t="n"/>
      <c r="N14" s="10" t="inlineStr">
        <is>
          <t>unmatched</t>
        </is>
      </c>
    </row>
    <row r="15">
      <c r="A15" s="10" t="inlineStr">
        <is>
          <t>1-49</t>
        </is>
      </c>
      <c r="B15" s="8" t="n">
        <v>223677</v>
      </c>
      <c r="C15" s="10" t="inlineStr">
        <is>
          <t>RW-260807-152050</t>
        </is>
      </c>
      <c r="D15" s="10" t="inlineStr">
        <is>
          <t>Apex Display Group</t>
        </is>
      </c>
      <c r="E15" s="10" t="inlineStr">
        <is>
          <t>Universal 36/42/54 Hot Wheels</t>
        </is>
      </c>
      <c r="F15" s="10" t="inlineStr">
        <is>
          <t>Hutch</t>
        </is>
      </c>
      <c r="G15" s="8" t="n">
        <v>2</v>
      </c>
      <c r="H15" s="10" t="n">
        <v/>
      </c>
      <c r="I15" s="8" t="n"/>
      <c r="J15" s="10" t="inlineStr">
        <is>
          <t>Gloss</t>
        </is>
      </c>
      <c r="K15" s="11" t="n">
        <v>365.72</v>
      </c>
      <c r="L15" s="11" t="n"/>
      <c r="M15" s="9" t="n"/>
      <c r="N15" s="10" t="inlineStr">
        <is>
          <t>unmatched</t>
        </is>
      </c>
    </row>
    <row r="16">
      <c r="A16" s="10" t="inlineStr">
        <is>
          <t>1-49</t>
        </is>
      </c>
      <c r="B16" s="8" t="n">
        <v>223677</v>
      </c>
      <c r="C16" s="10" t="inlineStr">
        <is>
          <t>RW-260807-152050</t>
        </is>
      </c>
      <c r="D16" s="10" t="inlineStr">
        <is>
          <t>Apex Display Group</t>
        </is>
      </c>
      <c r="E16" s="10" t="inlineStr">
        <is>
          <t>Universal 36/42/54 Hot Wheels</t>
        </is>
      </c>
      <c r="F16" s="10" t="inlineStr">
        <is>
          <t>Shelf Set</t>
        </is>
      </c>
      <c r="G16" s="8" t="n">
        <v>2</v>
      </c>
      <c r="H16" s="10" t="n">
        <v/>
      </c>
      <c r="I16" s="8" t="n"/>
      <c r="J16" s="10" t="inlineStr">
        <is>
          <t>Gloss</t>
        </is>
      </c>
      <c r="K16" s="11" t="n">
        <v>371.22</v>
      </c>
      <c r="L16" s="11" t="n"/>
      <c r="M16" s="9" t="n"/>
      <c r="N16" s="10" t="inlineStr">
        <is>
          <t>unmatched</t>
        </is>
      </c>
    </row>
    <row r="17">
      <c r="A17" s="10" t="inlineStr">
        <is>
          <t>1-49</t>
        </is>
      </c>
      <c r="B17" s="8" t="n">
        <v>223677</v>
      </c>
      <c r="C17" s="10" t="inlineStr">
        <is>
          <t>RW-260807-152050</t>
        </is>
      </c>
      <c r="D17" s="10" t="inlineStr">
        <is>
          <t>Apex Display Group</t>
        </is>
      </c>
      <c r="E17" s="10" t="inlineStr">
        <is>
          <t>Universal 36/42/54 Hot Wheels</t>
        </is>
      </c>
      <c r="F17" s="10" t="inlineStr">
        <is>
          <t>Item 3</t>
        </is>
      </c>
      <c r="G17" s="8" t="n">
        <v>2</v>
      </c>
      <c r="H17" s="10" t="n">
        <v/>
      </c>
      <c r="I17" s="8" t="n"/>
      <c r="J17" s="10" t="inlineStr">
        <is>
          <t>Satin</t>
        </is>
      </c>
      <c r="K17" s="11" t="n">
        <v>313.74</v>
      </c>
      <c r="L17" s="11" t="n"/>
      <c r="M17" s="9" t="n"/>
      <c r="N17" s="10" t="inlineStr">
        <is>
          <t>unmatched</t>
        </is>
      </c>
    </row>
    <row r="18">
      <c r="A18" s="10" t="inlineStr">
        <is>
          <t>1-49</t>
        </is>
      </c>
      <c r="B18" s="8" t="n">
        <v>222935</v>
      </c>
      <c r="C18" s="10" t="inlineStr">
        <is>
          <t>RW-260806-161257</t>
        </is>
      </c>
      <c r="D18" s="10" t="inlineStr">
        <is>
          <t>International Paper Retail Pkg &amp; Display</t>
        </is>
      </c>
      <c r="E18" s="10" t="inlineStr">
        <is>
          <t>Proj# 26342 &amp; 26530 / PO 090259-00</t>
        </is>
      </c>
      <c r="F18" s="10" t="inlineStr">
        <is>
          <t>QP Wedge Header — Job 26342 (BDICR65751)</t>
        </is>
      </c>
      <c r="G18" s="8" t="n">
        <v>15</v>
      </c>
      <c r="H18" s="10" t="n">
        <v/>
      </c>
      <c r="I18" s="8" t="n"/>
      <c r="J18" s="10" t="inlineStr">
        <is>
          <t>Satin</t>
        </is>
      </c>
      <c r="K18" s="11" t="n">
        <v>600.15</v>
      </c>
      <c r="L18" s="11" t="n"/>
      <c r="M18" s="9" t="n"/>
      <c r="N18" s="10" t="inlineStr">
        <is>
          <t>unmatched</t>
        </is>
      </c>
    </row>
    <row r="19">
      <c r="A19" s="10" t="inlineStr">
        <is>
          <t>1-49</t>
        </is>
      </c>
      <c r="B19" s="8" t="n">
        <v>222935</v>
      </c>
      <c r="C19" s="10" t="inlineStr">
        <is>
          <t>RW-260806-161257</t>
        </is>
      </c>
      <c r="D19" s="10" t="inlineStr">
        <is>
          <t>International Paper Retail Pkg &amp; Display</t>
        </is>
      </c>
      <c r="E19" s="10" t="inlineStr">
        <is>
          <t>Proj# 26342 &amp; 26530 / PO 090259-00</t>
        </is>
      </c>
      <c r="F19" s="10" t="inlineStr">
        <is>
          <t>Tray (BDICO59046) — 15 ea</t>
        </is>
      </c>
      <c r="G19" s="8" t="n">
        <v>15</v>
      </c>
      <c r="H19" s="10" t="n">
        <v/>
      </c>
      <c r="I19" s="8" t="n"/>
      <c r="J19" s="10" t="inlineStr">
        <is>
          <t>Satin</t>
        </is>
      </c>
      <c r="K19" s="11" t="n">
        <v>786.47</v>
      </c>
      <c r="L19" s="11" t="n"/>
      <c r="M19" s="9" t="n"/>
      <c r="N19" s="10" t="inlineStr">
        <is>
          <t>unmatched</t>
        </is>
      </c>
    </row>
    <row r="20">
      <c r="A20" s="10" t="inlineStr">
        <is>
          <t>1-49</t>
        </is>
      </c>
      <c r="B20" s="8" t="n">
        <v>223065</v>
      </c>
      <c r="C20" s="10" t="inlineStr">
        <is>
          <t>RW-260807-082738</t>
        </is>
      </c>
      <c r="D20" s="10" t="inlineStr">
        <is>
          <t>International Paper Retail Pkg &amp; Display</t>
        </is>
      </c>
      <c r="E20" s="10" t="inlineStr">
        <is>
          <t>DWGCU150HP (HD GC Under $150 HP)</t>
        </is>
      </c>
      <c r="F20" s="10" t="inlineStr">
        <is>
          <t>Base Tray</t>
        </is>
      </c>
      <c r="G20" s="8" t="n">
        <v>6</v>
      </c>
      <c r="H20" s="10" t="n">
        <v/>
      </c>
      <c r="I20" s="8" t="n"/>
      <c r="J20" s="10" t="inlineStr">
        <is>
          <t>Satin</t>
        </is>
      </c>
      <c r="K20" s="11" t="n">
        <v>492.95</v>
      </c>
      <c r="L20" s="11" t="n"/>
      <c r="M20" s="9" t="n"/>
      <c r="N20" s="10" t="inlineStr">
        <is>
          <t>unmatched</t>
        </is>
      </c>
    </row>
    <row r="21">
      <c r="A21" s="10" t="inlineStr">
        <is>
          <t>1-49</t>
        </is>
      </c>
      <c r="B21" s="8" t="n">
        <v>223706</v>
      </c>
      <c r="C21" s="10" t="inlineStr">
        <is>
          <t>RW-260717-111921</t>
        </is>
      </c>
      <c r="D21" s="10" t="inlineStr">
        <is>
          <t>Jamestown Container Corp. - Falconer</t>
        </is>
      </c>
      <c r="E21" s="10" t="inlineStr">
        <is>
          <t>Re-Frame Display - Walmart (HOT Prototype)</t>
        </is>
      </c>
      <c r="F21" s="10" t="inlineStr">
        <is>
          <t>Middle Base</t>
        </is>
      </c>
      <c r="G21" s="8" t="n">
        <v>2</v>
      </c>
      <c r="H21" s="10" t="n">
        <v/>
      </c>
      <c r="I21" s="8" t="n"/>
      <c r="J21" s="10" t="inlineStr">
        <is>
          <t>Satin</t>
        </is>
      </c>
      <c r="K21" s="11" t="n">
        <v>490.26</v>
      </c>
      <c r="L21" s="11" t="n"/>
      <c r="M21" s="9" t="n"/>
      <c r="N21" s="10" t="inlineStr">
        <is>
          <t>unmatched</t>
        </is>
      </c>
    </row>
    <row r="22">
      <c r="A22" s="10" t="inlineStr">
        <is>
          <t>1-49</t>
        </is>
      </c>
      <c r="B22" s="8" t="n">
        <v>223706</v>
      </c>
      <c r="C22" s="10" t="inlineStr">
        <is>
          <t>RW-260717-111921</t>
        </is>
      </c>
      <c r="D22" s="10" t="inlineStr">
        <is>
          <t>Jamestown Container Corp. - Falconer</t>
        </is>
      </c>
      <c r="E22" s="10" t="inlineStr">
        <is>
          <t>Re-Frame Display - Walmart (HOT Prototype)</t>
        </is>
      </c>
      <c r="F22" s="10" t="inlineStr">
        <is>
          <t>Shelf</t>
        </is>
      </c>
      <c r="G22" s="8" t="n">
        <v>2</v>
      </c>
      <c r="H22" s="10" t="n">
        <v/>
      </c>
      <c r="I22" s="8" t="n"/>
      <c r="J22" s="10" t="inlineStr">
        <is>
          <t>Satin</t>
        </is>
      </c>
      <c r="K22" s="11" t="n">
        <v>511.19</v>
      </c>
      <c r="L22" s="11" t="n"/>
      <c r="M22" s="9" t="n"/>
      <c r="N22" s="10" t="inlineStr">
        <is>
          <t>unmatched</t>
        </is>
      </c>
    </row>
    <row r="23">
      <c r="A23" s="10" t="inlineStr">
        <is>
          <t>1-49</t>
        </is>
      </c>
      <c r="B23" s="8" t="n">
        <v>223706</v>
      </c>
      <c r="C23" s="10" t="inlineStr">
        <is>
          <t>RW-260717-111921</t>
        </is>
      </c>
      <c r="D23" s="10" t="inlineStr">
        <is>
          <t>Jamestown Container Corp. - Falconer</t>
        </is>
      </c>
      <c r="E23" s="10" t="inlineStr">
        <is>
          <t>Re-Frame Display - Walmart (HOT Prototype)</t>
        </is>
      </c>
      <c r="F23" s="10" t="inlineStr">
        <is>
          <t>Columns</t>
        </is>
      </c>
      <c r="G23" s="8" t="n">
        <v>2</v>
      </c>
      <c r="H23" s="10" t="n">
        <v/>
      </c>
      <c r="I23" s="8" t="n"/>
      <c r="J23" s="10" t="inlineStr">
        <is>
          <t>Satin</t>
        </is>
      </c>
      <c r="K23" s="11" t="n">
        <v>547.29</v>
      </c>
      <c r="L23" s="11" t="n"/>
      <c r="M23" s="9" t="n"/>
      <c r="N23" s="10" t="inlineStr">
        <is>
          <t>unmatched</t>
        </is>
      </c>
    </row>
    <row r="24">
      <c r="A24" s="10" t="inlineStr">
        <is>
          <t>1-49</t>
        </is>
      </c>
      <c r="B24" s="8" t="n">
        <v>223057</v>
      </c>
      <c r="C24" s="10" t="inlineStr">
        <is>
          <t>RW-260807-082050</t>
        </is>
      </c>
      <c r="D24" s="10" t="inlineStr">
        <is>
          <t>Massillon Container</t>
        </is>
      </c>
      <c r="E24" s="10" t="inlineStr">
        <is>
          <t>Ten Point</t>
        </is>
      </c>
      <c r="F24" s="10" t="inlineStr">
        <is>
          <t>Item 1</t>
        </is>
      </c>
      <c r="G24" s="8" t="n">
        <v>30</v>
      </c>
      <c r="H24" s="10" t="n">
        <v/>
      </c>
      <c r="I24" s="8" t="n"/>
      <c r="J24" s="10" t="n"/>
      <c r="K24" s="11" t="n">
        <v>202.11</v>
      </c>
      <c r="L24" s="11" t="n"/>
      <c r="M24" s="9" t="n"/>
      <c r="N24" s="10" t="inlineStr">
        <is>
          <t>unmatched</t>
        </is>
      </c>
    </row>
    <row r="25">
      <c r="A25" s="10" t="inlineStr">
        <is>
          <t>1-49</t>
        </is>
      </c>
      <c r="B25" s="8" t="n">
        <v>223057</v>
      </c>
      <c r="C25" s="10" t="inlineStr">
        <is>
          <t>RW-260807-082050</t>
        </is>
      </c>
      <c r="D25" s="10" t="inlineStr">
        <is>
          <t>Massillon Container</t>
        </is>
      </c>
      <c r="E25" s="10" t="inlineStr">
        <is>
          <t>Ten Point</t>
        </is>
      </c>
      <c r="F25" s="10" t="inlineStr">
        <is>
          <t>Item 2</t>
        </is>
      </c>
      <c r="G25" s="8" t="n">
        <v>30</v>
      </c>
      <c r="H25" s="10" t="n">
        <v/>
      </c>
      <c r="I25" s="8" t="n"/>
      <c r="J25" s="10" t="inlineStr">
        <is>
          <t>Satin</t>
        </is>
      </c>
      <c r="K25" s="11" t="n">
        <v>557.23</v>
      </c>
      <c r="L25" s="11" t="n"/>
      <c r="M25" s="9" t="n"/>
      <c r="N25" s="10" t="inlineStr">
        <is>
          <t>unmatched</t>
        </is>
      </c>
    </row>
    <row r="26">
      <c r="A26" s="10" t="inlineStr">
        <is>
          <t>1-49</t>
        </is>
      </c>
      <c r="B26" s="8" t="n">
        <v>224227</v>
      </c>
      <c r="C26" s="10" t="inlineStr">
        <is>
          <t>CS-260826-155317</t>
        </is>
      </c>
      <c r="D26" s="10" t="inlineStr">
        <is>
          <t>PCA- New Oxford</t>
        </is>
      </c>
      <c r="E26" s="10" t="inlineStr">
        <is>
          <t>Crayola Meijer 48ft POG - Inline HDR Front 12 Versions</t>
        </is>
      </c>
      <c r="F26" s="10" t="inlineStr">
        <is>
          <t>Display Header — Version 2 of 12 (Sculp &amp; Paine)</t>
        </is>
      </c>
      <c r="G26" s="8" t="n">
        <v>1</v>
      </c>
      <c r="H26" s="10" t="n">
        <v/>
      </c>
      <c r="I26" s="8" t="n"/>
      <c r="J26" s="10" t="inlineStr">
        <is>
          <t>Gloss</t>
        </is>
      </c>
      <c r="K26" s="11" t="n">
        <v>379.78</v>
      </c>
      <c r="L26" s="11" t="n"/>
      <c r="M26" s="9" t="n"/>
      <c r="N26" s="10" t="inlineStr">
        <is>
          <t>unmatched</t>
        </is>
      </c>
    </row>
    <row r="27">
      <c r="A27" s="10" t="inlineStr">
        <is>
          <t>1-49</t>
        </is>
      </c>
      <c r="B27" s="8" t="n">
        <v>224227</v>
      </c>
      <c r="C27" s="10" t="inlineStr">
        <is>
          <t>CS-260826-155317</t>
        </is>
      </c>
      <c r="D27" s="10" t="inlineStr">
        <is>
          <t>PCA- New Oxford</t>
        </is>
      </c>
      <c r="E27" s="10" t="inlineStr">
        <is>
          <t>Crayola Meijer 48ft POG - Inline HDR Front 12 Versions</t>
        </is>
      </c>
      <c r="F27" s="10" t="inlineStr">
        <is>
          <t>Display Header — Version 4 of 12 (Gifts &amp; Kits #2)</t>
        </is>
      </c>
      <c r="G27" s="8" t="n">
        <v>1</v>
      </c>
      <c r="H27" s="10" t="n">
        <v/>
      </c>
      <c r="I27" s="8" t="n"/>
      <c r="J27" s="10" t="inlineStr">
        <is>
          <t>Gloss</t>
        </is>
      </c>
      <c r="K27" s="11" t="n">
        <v>379.78</v>
      </c>
      <c r="L27" s="11" t="n"/>
      <c r="M27" s="9" t="n"/>
      <c r="N27" s="10" t="inlineStr">
        <is>
          <t>unmatched</t>
        </is>
      </c>
    </row>
    <row r="28">
      <c r="A28" s="10" t="inlineStr">
        <is>
          <t>1-49</t>
        </is>
      </c>
      <c r="B28" s="8" t="n">
        <v>224227</v>
      </c>
      <c r="C28" s="10" t="inlineStr">
        <is>
          <t>CS-260826-155317</t>
        </is>
      </c>
      <c r="D28" s="10" t="inlineStr">
        <is>
          <t>PCA- New Oxford</t>
        </is>
      </c>
      <c r="E28" s="10" t="inlineStr">
        <is>
          <t>Crayola Meijer 48ft POG - Inline HDR Front 12 Versions</t>
        </is>
      </c>
      <c r="F28" s="10" t="inlineStr">
        <is>
          <t>Display Header — Version 5 of 12 (Gifts &amp; Kits #1)</t>
        </is>
      </c>
      <c r="G28" s="8" t="n">
        <v>1</v>
      </c>
      <c r="H28" s="10" t="n">
        <v/>
      </c>
      <c r="I28" s="8" t="n"/>
      <c r="J28" s="10" t="inlineStr">
        <is>
          <t>Gloss</t>
        </is>
      </c>
      <c r="K28" s="11" t="n">
        <v>379.78</v>
      </c>
      <c r="L28" s="11" t="n"/>
      <c r="M28" s="9" t="n"/>
      <c r="N28" s="10" t="inlineStr">
        <is>
          <t>unmatched</t>
        </is>
      </c>
    </row>
    <row r="29">
      <c r="A29" s="10" t="inlineStr">
        <is>
          <t>1-49</t>
        </is>
      </c>
      <c r="B29" s="8" t="n">
        <v>224227</v>
      </c>
      <c r="C29" s="10" t="inlineStr">
        <is>
          <t>CS-260826-155317</t>
        </is>
      </c>
      <c r="D29" s="10" t="inlineStr">
        <is>
          <t>PCA- New Oxford</t>
        </is>
      </c>
      <c r="E29" s="10" t="inlineStr">
        <is>
          <t>Crayola Meijer 48ft POG - Inline HDR Front 12 Versions</t>
        </is>
      </c>
      <c r="F29" s="10" t="inlineStr">
        <is>
          <t>Display Header — Version 6 of 12 (Little Artists)</t>
        </is>
      </c>
      <c r="G29" s="8" t="n">
        <v>1</v>
      </c>
      <c r="H29" s="10" t="n">
        <v/>
      </c>
      <c r="I29" s="8" t="n"/>
      <c r="J29" s="10" t="inlineStr">
        <is>
          <t>Gloss</t>
        </is>
      </c>
      <c r="K29" s="11" t="n">
        <v>379.78</v>
      </c>
      <c r="L29" s="11" t="n"/>
      <c r="M29" s="9" t="n"/>
      <c r="N29" s="10" t="inlineStr">
        <is>
          <t>unmatched</t>
        </is>
      </c>
    </row>
    <row r="30">
      <c r="A30" s="10" t="inlineStr">
        <is>
          <t>1-49</t>
        </is>
      </c>
      <c r="B30" s="8" t="n">
        <v>224227</v>
      </c>
      <c r="C30" s="10" t="inlineStr">
        <is>
          <t>CS-260826-155317</t>
        </is>
      </c>
      <c r="D30" s="10" t="inlineStr">
        <is>
          <t>PCA- New Oxford</t>
        </is>
      </c>
      <c r="E30" s="10" t="inlineStr">
        <is>
          <t>Crayola Meijer 48ft POG - Inline HDR Front 12 Versions</t>
        </is>
      </c>
      <c r="F30" s="10" t="inlineStr">
        <is>
          <t>Display Header — Version 7 of 12 (Color &amp; Draw #1)</t>
        </is>
      </c>
      <c r="G30" s="8" t="n">
        <v>1</v>
      </c>
      <c r="H30" s="10" t="n">
        <v/>
      </c>
      <c r="I30" s="8" t="n"/>
      <c r="J30" s="10" t="inlineStr">
        <is>
          <t>Gloss</t>
        </is>
      </c>
      <c r="K30" s="11" t="n">
        <v>379.78</v>
      </c>
      <c r="L30" s="11" t="n"/>
      <c r="M30" s="9" t="n"/>
      <c r="N30" s="10" t="inlineStr">
        <is>
          <t>unmatched</t>
        </is>
      </c>
    </row>
    <row r="31">
      <c r="A31" s="10" t="inlineStr">
        <is>
          <t>1-49</t>
        </is>
      </c>
      <c r="B31" s="8" t="n">
        <v>224227</v>
      </c>
      <c r="C31" s="10" t="inlineStr">
        <is>
          <t>CS-260826-155317</t>
        </is>
      </c>
      <c r="D31" s="10" t="inlineStr">
        <is>
          <t>PCA- New Oxford</t>
        </is>
      </c>
      <c r="E31" s="10" t="inlineStr">
        <is>
          <t>Crayola Meijer 48ft POG - Inline HDR Front 12 Versions</t>
        </is>
      </c>
      <c r="F31" s="10" t="inlineStr">
        <is>
          <t>Display Header — Version 8 of 12 (Color &amp; Draw #2)</t>
        </is>
      </c>
      <c r="G31" s="8" t="n">
        <v>1</v>
      </c>
      <c r="H31" s="10" t="n">
        <v/>
      </c>
      <c r="I31" s="8" t="n"/>
      <c r="J31" s="10" t="inlineStr">
        <is>
          <t>Gloss</t>
        </is>
      </c>
      <c r="K31" s="11" t="n">
        <v>379.78</v>
      </c>
      <c r="L31" s="11" t="n"/>
      <c r="M31" s="9" t="n"/>
      <c r="N31" s="10" t="inlineStr">
        <is>
          <t>unmatched</t>
        </is>
      </c>
    </row>
    <row r="32">
      <c r="A32" s="10" t="inlineStr">
        <is>
          <t>1-49</t>
        </is>
      </c>
      <c r="B32" s="8" t="n">
        <v>224227</v>
      </c>
      <c r="C32" s="10" t="inlineStr">
        <is>
          <t>CS-260826-155317</t>
        </is>
      </c>
      <c r="D32" s="10" t="inlineStr">
        <is>
          <t>PCA- New Oxford</t>
        </is>
      </c>
      <c r="E32" s="10" t="inlineStr">
        <is>
          <t>Crayola Meijer 48ft POG - Inline HDR Front 12 Versions</t>
        </is>
      </c>
      <c r="F32" s="10" t="inlineStr">
        <is>
          <t>Display Header — Version 9 of 12 (Poster Board Teal)</t>
        </is>
      </c>
      <c r="G32" s="8" t="n">
        <v>1</v>
      </c>
      <c r="H32" s="10" t="n">
        <v/>
      </c>
      <c r="I32" s="8" t="n"/>
      <c r="J32" s="10" t="inlineStr">
        <is>
          <t>Gloss</t>
        </is>
      </c>
      <c r="K32" s="11" t="n">
        <v>379.78</v>
      </c>
      <c r="L32" s="11" t="n"/>
      <c r="M32" s="9" t="n"/>
      <c r="N32" s="10" t="inlineStr">
        <is>
          <t>unmatched</t>
        </is>
      </c>
    </row>
    <row r="33">
      <c r="A33" s="10" t="inlineStr">
        <is>
          <t>1-49</t>
        </is>
      </c>
      <c r="B33" s="8" t="n">
        <v>224227</v>
      </c>
      <c r="C33" s="10" t="inlineStr">
        <is>
          <t>CS-260826-155317</t>
        </is>
      </c>
      <c r="D33" s="10" t="inlineStr">
        <is>
          <t>PCA- New Oxford</t>
        </is>
      </c>
      <c r="E33" s="10" t="inlineStr">
        <is>
          <t>Crayola Meijer 48ft POG - Inline HDR Front 12 Versions</t>
        </is>
      </c>
      <c r="F33" s="10" t="inlineStr">
        <is>
          <t>Display Header — Version 11 of 12 (Color &amp; Draw #3 Egg)</t>
        </is>
      </c>
      <c r="G33" s="8" t="n">
        <v>1</v>
      </c>
      <c r="H33" s="10" t="n">
        <v/>
      </c>
      <c r="I33" s="8" t="n"/>
      <c r="J33" s="10" t="inlineStr">
        <is>
          <t>Gloss</t>
        </is>
      </c>
      <c r="K33" s="11" t="n">
        <v>379.78</v>
      </c>
      <c r="L33" s="11" t="n"/>
      <c r="M33" s="9" t="n"/>
      <c r="N33" s="10" t="inlineStr">
        <is>
          <t>unmatched</t>
        </is>
      </c>
    </row>
    <row r="34">
      <c r="A34" s="10" t="inlineStr">
        <is>
          <t>1-49</t>
        </is>
      </c>
      <c r="B34" s="8" t="n">
        <v>224227</v>
      </c>
      <c r="C34" s="10" t="inlineStr">
        <is>
          <t>CS-260826-155317</t>
        </is>
      </c>
      <c r="D34" s="10" t="inlineStr">
        <is>
          <t>PCA- New Oxford</t>
        </is>
      </c>
      <c r="E34" s="10" t="inlineStr">
        <is>
          <t>Crayola Meijer 48ft POG - Inline HDR Front 12 Versions</t>
        </is>
      </c>
      <c r="F34" s="10" t="inlineStr">
        <is>
          <t>Display Header — Version 12 of 12 (Goo &amp; Glue)</t>
        </is>
      </c>
      <c r="G34" s="8" t="n">
        <v>1</v>
      </c>
      <c r="H34" s="10" t="n">
        <v/>
      </c>
      <c r="I34" s="8" t="n"/>
      <c r="J34" s="10" t="inlineStr">
        <is>
          <t>Gloss</t>
        </is>
      </c>
      <c r="K34" s="11" t="n">
        <v>379.78</v>
      </c>
      <c r="L34" s="11" t="n"/>
      <c r="M34" s="9" t="n"/>
      <c r="N34" s="10" t="inlineStr">
        <is>
          <t>unmatched</t>
        </is>
      </c>
    </row>
    <row r="35">
      <c r="A35" s="10" t="inlineStr">
        <is>
          <t>1-49</t>
        </is>
      </c>
      <c r="B35" s="8" t="n">
        <v>223784</v>
      </c>
      <c r="C35" s="10" t="inlineStr">
        <is>
          <t>RW-260730-154720</t>
        </is>
      </c>
      <c r="D35" s="10" t="inlineStr">
        <is>
          <t>Skybox Packaging, LLC</t>
        </is>
      </c>
      <c r="E35" s="10" t="inlineStr">
        <is>
          <t>Case# 00011159 - REVISED - Targeted Pet Treats Shelf Display</t>
        </is>
      </c>
      <c r="F35" s="10" t="inlineStr">
        <is>
          <t>Shelf Display Box — Blue (MRO42966 RevA)</t>
        </is>
      </c>
      <c r="G35" s="8" t="n">
        <v>1</v>
      </c>
      <c r="H35" s="10" t="n">
        <v/>
      </c>
      <c r="I35" s="8" t="n"/>
      <c r="J35" s="10" t="inlineStr">
        <is>
          <t>Gloss</t>
        </is>
      </c>
      <c r="K35" s="11" t="n">
        <v>311.78</v>
      </c>
      <c r="L35" s="11" t="n"/>
      <c r="M35" s="9" t="n"/>
      <c r="N35" s="10" t="inlineStr">
        <is>
          <t>unmatched</t>
        </is>
      </c>
    </row>
    <row r="36">
      <c r="A36" s="10" t="inlineStr">
        <is>
          <t>1-49</t>
        </is>
      </c>
      <c r="B36" s="8" t="n">
        <v>223784</v>
      </c>
      <c r="C36" s="10" t="inlineStr">
        <is>
          <t>RW-260730-154720</t>
        </is>
      </c>
      <c r="D36" s="10" t="inlineStr">
        <is>
          <t>Skybox Packaging, LLC</t>
        </is>
      </c>
      <c r="E36" s="10" t="inlineStr">
        <is>
          <t>Case# 00011159 - REVISED - Targeted Pet Treats Shelf Display</t>
        </is>
      </c>
      <c r="F36" s="10" t="inlineStr">
        <is>
          <t>Shelf Display Box — Peach (MRO42966 RevA)</t>
        </is>
      </c>
      <c r="G36" s="8" t="n">
        <v>1</v>
      </c>
      <c r="H36" s="10" t="n">
        <v/>
      </c>
      <c r="I36" s="8" t="n"/>
      <c r="J36" s="10" t="inlineStr">
        <is>
          <t>Gloss</t>
        </is>
      </c>
      <c r="K36" s="11" t="n">
        <v>311.78</v>
      </c>
      <c r="L36" s="11" t="n"/>
      <c r="M36" s="9" t="n"/>
      <c r="N36" s="10" t="inlineStr">
        <is>
          <t>unmatched</t>
        </is>
      </c>
    </row>
    <row r="37">
      <c r="A37" s="10" t="inlineStr">
        <is>
          <t>1-49</t>
        </is>
      </c>
      <c r="B37" s="8" t="n">
        <v>223784</v>
      </c>
      <c r="C37" s="10" t="inlineStr">
        <is>
          <t>RW-260730-154720</t>
        </is>
      </c>
      <c r="D37" s="10" t="inlineStr">
        <is>
          <t>Skybox Packaging, LLC</t>
        </is>
      </c>
      <c r="E37" s="10" t="inlineStr">
        <is>
          <t>Case# 00011159 - REVISED - Targeted Pet Treats Shelf Display</t>
        </is>
      </c>
      <c r="F37" s="10" t="inlineStr">
        <is>
          <t>Shelf Display Box — Yellow (MRO42966 RevA)</t>
        </is>
      </c>
      <c r="G37" s="8" t="n">
        <v>1</v>
      </c>
      <c r="H37" s="10" t="n">
        <v/>
      </c>
      <c r="I37" s="8" t="n"/>
      <c r="J37" s="10" t="inlineStr">
        <is>
          <t>Satin</t>
        </is>
      </c>
      <c r="K37" s="11" t="n">
        <v>311.78</v>
      </c>
      <c r="L37" s="11" t="n"/>
      <c r="M37" s="9" t="n"/>
      <c r="N37" s="10" t="inlineStr">
        <is>
          <t>unmatched</t>
        </is>
      </c>
    </row>
    <row r="38">
      <c r="A38" s="10" t="inlineStr">
        <is>
          <t>1-49</t>
        </is>
      </c>
      <c r="B38" s="8" t="n">
        <v>223864</v>
      </c>
      <c r="C38" s="10" t="inlineStr">
        <is>
          <t>CS-260803-133009</t>
        </is>
      </c>
      <c r="D38" s="10" t="inlineStr">
        <is>
          <t>Skybox Packaging, LLC</t>
        </is>
      </c>
      <c r="E38" s="10" t="inlineStr">
        <is>
          <t>Targeted Pet Treats - Country Kitchen Promotional Shipper</t>
        </is>
      </c>
      <c r="F38" s="10" t="inlineStr">
        <is>
          <t>Tray (2-up)</t>
        </is>
      </c>
      <c r="G38" s="8" t="n">
        <v>1</v>
      </c>
      <c r="H38" s="10" t="n">
        <v/>
      </c>
      <c r="I38" s="8" t="n"/>
      <c r="J38" s="10" t="inlineStr">
        <is>
          <t>Satin</t>
        </is>
      </c>
      <c r="K38" s="11" t="n">
        <v>310.2</v>
      </c>
      <c r="L38" s="11" t="n"/>
      <c r="M38" s="9" t="n"/>
      <c r="N38" s="10" t="inlineStr">
        <is>
          <t>unmatched</t>
        </is>
      </c>
    </row>
    <row r="39">
      <c r="A39" s="10" t="inlineStr">
        <is>
          <t>1-49</t>
        </is>
      </c>
      <c r="B39" s="8" t="n">
        <v>223851</v>
      </c>
      <c r="C39" s="10" t="inlineStr">
        <is>
          <t>RW-260724-153643</t>
        </is>
      </c>
      <c r="D39" s="10" t="inlineStr">
        <is>
          <t>Weber Display &amp; Packaging</t>
        </is>
      </c>
      <c r="E39" s="10" t="inlineStr">
        <is>
          <t>Mala Girl 3 Pak PDQ</t>
        </is>
      </c>
      <c r="F39" s="10" t="inlineStr">
        <is>
          <t>Tray</t>
        </is>
      </c>
      <c r="G39" s="8" t="n">
        <v>25</v>
      </c>
      <c r="H39" s="10" t="n">
        <v/>
      </c>
      <c r="I39" s="8" t="n"/>
      <c r="J39" s="10" t="inlineStr">
        <is>
          <t>Gloss</t>
        </is>
      </c>
      <c r="K39" s="11" t="n">
        <v>748.86</v>
      </c>
      <c r="L39" s="11" t="n"/>
      <c r="M39" s="9" t="n"/>
      <c r="N39" s="10" t="inlineStr">
        <is>
          <t>unmatched</t>
        </is>
      </c>
    </row>
    <row r="40">
      <c r="A40" s="10" t="inlineStr">
        <is>
          <t>50-199</t>
        </is>
      </c>
      <c r="B40" s="8" t="n">
        <v>224399</v>
      </c>
      <c r="C40" s="10" t="inlineStr">
        <is>
          <t>CD-260825-104135</t>
        </is>
      </c>
      <c r="D40" s="10" t="inlineStr">
        <is>
          <t>BCI Buckeye Division</t>
        </is>
      </c>
      <c r="E40" s="10" t="inlineStr">
        <is>
          <t>Part # 11590 / 11616 / 11617</t>
        </is>
      </c>
      <c r="F40" s="10" t="inlineStr">
        <is>
          <t>Sidekick w/Built-In Header</t>
        </is>
      </c>
      <c r="G40" s="8" t="n">
        <v>100</v>
      </c>
      <c r="H40" s="10" t="n">
        <v/>
      </c>
      <c r="I40" s="8" t="n"/>
      <c r="J40" s="10" t="inlineStr">
        <is>
          <t>Satin</t>
        </is>
      </c>
      <c r="K40" s="11" t="n">
        <v>3100.63</v>
      </c>
      <c r="L40" s="11" t="n"/>
      <c r="M40" s="9" t="n"/>
      <c r="N40" s="10" t="inlineStr">
        <is>
          <t>unmatched</t>
        </is>
      </c>
    </row>
    <row r="41">
      <c r="A41" s="10" t="inlineStr">
        <is>
          <t>50-199</t>
        </is>
      </c>
      <c r="B41" s="8" t="n">
        <v>224399</v>
      </c>
      <c r="C41" s="10" t="inlineStr">
        <is>
          <t>CD-260825-104135</t>
        </is>
      </c>
      <c r="D41" s="10" t="inlineStr">
        <is>
          <t>BCI Buckeye Division</t>
        </is>
      </c>
      <c r="E41" s="10" t="inlineStr">
        <is>
          <t>Part # 11590 / 11616 / 11617</t>
        </is>
      </c>
      <c r="F41" s="10" t="inlineStr">
        <is>
          <t>Sidekick Shelf</t>
        </is>
      </c>
      <c r="G41" s="8" t="n">
        <v>100</v>
      </c>
      <c r="H41" s="10" t="n">
        <v/>
      </c>
      <c r="I41" s="8" t="n"/>
      <c r="J41" s="10" t="n"/>
      <c r="K41" s="11" t="n">
        <v>679.28</v>
      </c>
      <c r="L41" s="11" t="n"/>
      <c r="M41" s="9" t="n"/>
      <c r="N41" s="10" t="inlineStr">
        <is>
          <t>unmatched</t>
        </is>
      </c>
    </row>
    <row r="42">
      <c r="A42" s="10" t="inlineStr">
        <is>
          <t>50-199</t>
        </is>
      </c>
      <c r="B42" s="8" t="n">
        <v>224399</v>
      </c>
      <c r="C42" s="10" t="inlineStr">
        <is>
          <t>CD-260825-104135</t>
        </is>
      </c>
      <c r="D42" s="10" t="inlineStr">
        <is>
          <t>BCI Buckeye Division</t>
        </is>
      </c>
      <c r="E42" s="10" t="inlineStr">
        <is>
          <t>Part # 11590 / 11616 / 11617</t>
        </is>
      </c>
      <c r="F42" s="10" t="inlineStr">
        <is>
          <t>Optional Base (Joined)</t>
        </is>
      </c>
      <c r="G42" s="8" t="n">
        <v>100</v>
      </c>
      <c r="H42" s="10" t="n">
        <v/>
      </c>
      <c r="I42" s="8" t="n"/>
      <c r="J42" s="10" t="inlineStr">
        <is>
          <t>Satin</t>
        </is>
      </c>
      <c r="K42" s="11" t="n">
        <v>2404.16</v>
      </c>
      <c r="L42" s="11" t="n"/>
      <c r="M42" s="9" t="n"/>
      <c r="N42" s="10" t="inlineStr">
        <is>
          <t>unmatched</t>
        </is>
      </c>
    </row>
    <row r="43">
      <c r="A43" s="10" t="inlineStr">
        <is>
          <t>50-199</t>
        </is>
      </c>
      <c r="B43" s="8" t="n">
        <v>224424</v>
      </c>
      <c r="C43" s="10" t="inlineStr">
        <is>
          <t>CS-260825-160705</t>
        </is>
      </c>
      <c r="D43" s="10" t="inlineStr">
        <is>
          <t>Effem (Mars Petcare)</t>
        </is>
      </c>
      <c r="E43" s="10" t="inlineStr">
        <is>
          <t>Temptations Bodega Direct Mailer</t>
        </is>
      </c>
      <c r="F43" s="10" t="inlineStr">
        <is>
          <t>Bodega</t>
        </is>
      </c>
      <c r="G43" s="8" t="n">
        <v>65</v>
      </c>
      <c r="H43" s="10" t="n">
        <v/>
      </c>
      <c r="I43" s="8" t="n"/>
      <c r="J43" s="10" t="inlineStr">
        <is>
          <t>Gloss</t>
        </is>
      </c>
      <c r="K43" s="11" t="n">
        <v>2104.58</v>
      </c>
      <c r="L43" s="11" t="n"/>
      <c r="M43" s="9" t="n"/>
      <c r="N43" s="10" t="inlineStr">
        <is>
          <t>unmatched</t>
        </is>
      </c>
    </row>
    <row r="44">
      <c r="A44" s="10" t="inlineStr">
        <is>
          <t>50-199</t>
        </is>
      </c>
      <c r="B44" s="8" t="n">
        <v>224424</v>
      </c>
      <c r="C44" s="10" t="inlineStr">
        <is>
          <t>CS-260825-160705</t>
        </is>
      </c>
      <c r="D44" s="10" t="inlineStr">
        <is>
          <t>Effem (Mars Petcare)</t>
        </is>
      </c>
      <c r="E44" s="10" t="inlineStr">
        <is>
          <t>Temptations Bodega Direct Mailer</t>
        </is>
      </c>
      <c r="F44" s="10" t="inlineStr">
        <is>
          <t>Insert</t>
        </is>
      </c>
      <c r="G44" s="8" t="n">
        <v>65</v>
      </c>
      <c r="H44" s="10" t="n">
        <v/>
      </c>
      <c r="I44" s="8" t="n"/>
      <c r="J44" s="10" t="inlineStr">
        <is>
          <t>Gloss</t>
        </is>
      </c>
      <c r="K44" s="11" t="n">
        <v>1515.82</v>
      </c>
      <c r="L44" s="11" t="n"/>
      <c r="M44" s="9" t="n"/>
      <c r="N44" s="10" t="inlineStr">
        <is>
          <t>unmatched</t>
        </is>
      </c>
    </row>
    <row r="45">
      <c r="A45" s="10" t="inlineStr">
        <is>
          <t>50-199</t>
        </is>
      </c>
      <c r="B45" s="8" t="n">
        <v>224424</v>
      </c>
      <c r="C45" s="10" t="inlineStr">
        <is>
          <t>CS-260825-160705</t>
        </is>
      </c>
      <c r="D45" s="10" t="inlineStr">
        <is>
          <t>Effem (Mars Petcare)</t>
        </is>
      </c>
      <c r="E45" s="10" t="inlineStr">
        <is>
          <t>Temptations Bodega Direct Mailer</t>
        </is>
      </c>
      <c r="F45" s="10" t="inlineStr">
        <is>
          <t>Shipper</t>
        </is>
      </c>
      <c r="G45" s="8" t="n">
        <v>65</v>
      </c>
      <c r="H45" s="10" t="n">
        <v/>
      </c>
      <c r="I45" s="8" t="n"/>
      <c r="J45" s="10" t="n"/>
      <c r="K45" s="11" t="n">
        <v>677.6900000000001</v>
      </c>
      <c r="L45" s="11" t="n"/>
      <c r="M45" s="9" t="n"/>
      <c r="N45" s="10" t="inlineStr">
        <is>
          <t>unmatched</t>
        </is>
      </c>
    </row>
    <row r="46">
      <c r="A46" s="10" t="inlineStr">
        <is>
          <t>50-199</t>
        </is>
      </c>
      <c r="B46" s="8" t="n">
        <v>223057</v>
      </c>
      <c r="C46" s="10" t="inlineStr">
        <is>
          <t>RW-260807-082050</t>
        </is>
      </c>
      <c r="D46" s="10" t="inlineStr">
        <is>
          <t>Massillon Container</t>
        </is>
      </c>
      <c r="E46" s="10" t="inlineStr">
        <is>
          <t>Ten Point</t>
        </is>
      </c>
      <c r="F46" s="10" t="inlineStr">
        <is>
          <t>Item 1</t>
        </is>
      </c>
      <c r="G46" s="8" t="n">
        <v>50</v>
      </c>
      <c r="H46" s="10" t="n">
        <v/>
      </c>
      <c r="I46" s="8" t="n"/>
      <c r="J46" s="10" t="n"/>
      <c r="K46" s="11" t="n">
        <v>234.4</v>
      </c>
      <c r="L46" s="11" t="n"/>
      <c r="M46" s="9" t="n"/>
      <c r="N46" s="10" t="inlineStr">
        <is>
          <t>unmatched</t>
        </is>
      </c>
    </row>
    <row r="47">
      <c r="A47" s="10" t="inlineStr">
        <is>
          <t>50-199</t>
        </is>
      </c>
      <c r="B47" s="8" t="n">
        <v>223057</v>
      </c>
      <c r="C47" s="10" t="inlineStr">
        <is>
          <t>RW-260807-082050</t>
        </is>
      </c>
      <c r="D47" s="10" t="inlineStr">
        <is>
          <t>Massillon Container</t>
        </is>
      </c>
      <c r="E47" s="10" t="inlineStr">
        <is>
          <t>Ten Point</t>
        </is>
      </c>
      <c r="F47" s="10" t="inlineStr">
        <is>
          <t>Item 2</t>
        </is>
      </c>
      <c r="G47" s="8" t="n">
        <v>50</v>
      </c>
      <c r="H47" s="10" t="n">
        <v/>
      </c>
      <c r="I47" s="8" t="n"/>
      <c r="J47" s="10" t="inlineStr">
        <is>
          <t>Satin</t>
        </is>
      </c>
      <c r="K47" s="11" t="n">
        <v>833.37</v>
      </c>
      <c r="L47" s="11" t="n"/>
      <c r="M47" s="9" t="n"/>
      <c r="N47" s="10" t="inlineStr">
        <is>
          <t>unmatched</t>
        </is>
      </c>
    </row>
    <row r="48">
      <c r="A48" s="10" t="inlineStr">
        <is>
          <t>50-199</t>
        </is>
      </c>
      <c r="B48" s="8" t="n">
        <v>223057</v>
      </c>
      <c r="C48" s="10" t="inlineStr">
        <is>
          <t>RW-260807-082050</t>
        </is>
      </c>
      <c r="D48" s="10" t="inlineStr">
        <is>
          <t>Massillon Container</t>
        </is>
      </c>
      <c r="E48" s="10" t="inlineStr">
        <is>
          <t>Ten Point</t>
        </is>
      </c>
      <c r="F48" s="10" t="inlineStr">
        <is>
          <t>Item 1</t>
        </is>
      </c>
      <c r="G48" s="8" t="n">
        <v>70</v>
      </c>
      <c r="H48" s="10" t="n">
        <v/>
      </c>
      <c r="I48" s="8" t="n"/>
      <c r="J48" s="10" t="n"/>
      <c r="K48" s="11" t="n">
        <v>257.36</v>
      </c>
      <c r="L48" s="11" t="n"/>
      <c r="M48" s="9" t="n"/>
      <c r="N48" s="10" t="inlineStr">
        <is>
          <t>unmatched</t>
        </is>
      </c>
    </row>
    <row r="49">
      <c r="A49" s="10" t="inlineStr">
        <is>
          <t>50-199</t>
        </is>
      </c>
      <c r="B49" s="8" t="n">
        <v>223057</v>
      </c>
      <c r="C49" s="10" t="inlineStr">
        <is>
          <t>RW-260807-082050</t>
        </is>
      </c>
      <c r="D49" s="10" t="inlineStr">
        <is>
          <t>Massillon Container</t>
        </is>
      </c>
      <c r="E49" s="10" t="inlineStr">
        <is>
          <t>Ten Point</t>
        </is>
      </c>
      <c r="F49" s="10" t="inlineStr">
        <is>
          <t>Item 2</t>
        </is>
      </c>
      <c r="G49" s="8" t="n">
        <v>70</v>
      </c>
      <c r="H49" s="10" t="n">
        <v/>
      </c>
      <c r="I49" s="8" t="n"/>
      <c r="J49" s="10" t="inlineStr">
        <is>
          <t>Satin</t>
        </is>
      </c>
      <c r="K49" s="11" t="n">
        <v>1033.07</v>
      </c>
      <c r="L49" s="11" t="n"/>
      <c r="M49" s="9" t="n"/>
      <c r="N49" s="10" t="inlineStr">
        <is>
          <t>unmatched</t>
        </is>
      </c>
    </row>
    <row r="50">
      <c r="A50" s="10" t="inlineStr">
        <is>
          <t>50-199</t>
        </is>
      </c>
      <c r="B50" s="8" t="n">
        <v>223057</v>
      </c>
      <c r="C50" s="10" t="inlineStr">
        <is>
          <t>RW-260807-082050</t>
        </is>
      </c>
      <c r="D50" s="10" t="inlineStr">
        <is>
          <t>Massillon Container</t>
        </is>
      </c>
      <c r="E50" s="10" t="inlineStr">
        <is>
          <t>Ten Point</t>
        </is>
      </c>
      <c r="F50" s="10" t="inlineStr">
        <is>
          <t>Item 1</t>
        </is>
      </c>
      <c r="G50" s="8" t="n">
        <v>100</v>
      </c>
      <c r="H50" s="10" t="n">
        <v/>
      </c>
      <c r="I50" s="8" t="n"/>
      <c r="J50" s="10" t="n"/>
      <c r="K50" s="11" t="n">
        <v>306.8</v>
      </c>
      <c r="L50" s="11" t="n"/>
      <c r="M50" s="9" t="n"/>
      <c r="N50" s="10" t="inlineStr">
        <is>
          <t>unmatched</t>
        </is>
      </c>
    </row>
    <row r="51">
      <c r="A51" s="10" t="inlineStr">
        <is>
          <t>50-199</t>
        </is>
      </c>
      <c r="B51" s="8" t="n">
        <v>223057</v>
      </c>
      <c r="C51" s="10" t="inlineStr">
        <is>
          <t>RW-260807-082050</t>
        </is>
      </c>
      <c r="D51" s="10" t="inlineStr">
        <is>
          <t>Massillon Container</t>
        </is>
      </c>
      <c r="E51" s="10" t="inlineStr">
        <is>
          <t>Ten Point</t>
        </is>
      </c>
      <c r="F51" s="10" t="inlineStr">
        <is>
          <t>Item 2</t>
        </is>
      </c>
      <c r="G51" s="8" t="n">
        <v>100</v>
      </c>
      <c r="H51" s="10" t="n">
        <v/>
      </c>
      <c r="I51" s="8" t="n"/>
      <c r="J51" s="10" t="inlineStr">
        <is>
          <t>Satin</t>
        </is>
      </c>
      <c r="K51" s="11" t="n">
        <v>1416.83</v>
      </c>
      <c r="L51" s="11" t="n"/>
      <c r="M51" s="9" t="n"/>
      <c r="N51" s="10" t="inlineStr">
        <is>
          <t>unmatched</t>
        </is>
      </c>
    </row>
    <row r="52">
      <c r="A52" s="10" t="inlineStr">
        <is>
          <t>50-199</t>
        </is>
      </c>
      <c r="B52" s="8" t="n">
        <v>222219</v>
      </c>
      <c r="C52" s="10" t="inlineStr">
        <is>
          <t>RW-260807-161054</t>
        </is>
      </c>
      <c r="D52" s="10" t="inlineStr">
        <is>
          <t>PCA - Akron</t>
        </is>
      </c>
      <c r="E52" s="10" t="inlineStr">
        <is>
          <t>Savant GE 93129294 T8A 4ft 20pk</t>
        </is>
      </c>
      <c r="F52" s="10" t="inlineStr">
        <is>
          <t>DL-42091</t>
        </is>
      </c>
      <c r="G52" s="8" t="n">
        <v>120</v>
      </c>
      <c r="H52" s="10" t="n">
        <v/>
      </c>
      <c r="I52" s="8" t="n"/>
      <c r="J52" s="10" t="inlineStr">
        <is>
          <t>Satin</t>
        </is>
      </c>
      <c r="K52" s="11" t="n">
        <v>3042.05</v>
      </c>
      <c r="L52" s="11" t="n"/>
      <c r="M52" s="9" t="n"/>
      <c r="N52" s="10" t="inlineStr">
        <is>
          <t>no-iq-rows</t>
        </is>
      </c>
    </row>
    <row r="53">
      <c r="A53" s="10" t="inlineStr">
        <is>
          <t>50-199</t>
        </is>
      </c>
      <c r="B53" s="8" t="n">
        <v>223590</v>
      </c>
      <c r="C53" s="10" t="inlineStr">
        <is>
          <t>RW-260727-090826</t>
        </is>
      </c>
      <c r="D53" s="10" t="inlineStr">
        <is>
          <t>PCA - Akron</t>
        </is>
      </c>
      <c r="E53" s="10" t="inlineStr">
        <is>
          <t>Power Prep Mixer 01.27.2025</t>
        </is>
      </c>
      <c r="F53" s="10" t="inlineStr">
        <is>
          <t>RSC</t>
        </is>
      </c>
      <c r="G53" s="8" t="n">
        <v>50</v>
      </c>
      <c r="H53" s="10" t="n">
        <v/>
      </c>
      <c r="I53" s="8" t="n"/>
      <c r="J53" s="10" t="inlineStr">
        <is>
          <t>Gloss</t>
        </is>
      </c>
      <c r="K53" s="11" t="n">
        <v>1050.73</v>
      </c>
      <c r="L53" s="11" t="n"/>
      <c r="M53" s="9" t="n"/>
      <c r="N53" s="10" t="inlineStr">
        <is>
          <t>unmatched</t>
        </is>
      </c>
    </row>
    <row r="54">
      <c r="A54" s="10" t="inlineStr">
        <is>
          <t>50-199</t>
        </is>
      </c>
      <c r="B54" s="8" t="n">
        <v>223376</v>
      </c>
      <c r="C54" s="10" t="inlineStr">
        <is>
          <t>RW-260629-134103</t>
        </is>
      </c>
      <c r="D54" s="10" t="inlineStr">
        <is>
          <t>PCA - Ashland</t>
        </is>
      </c>
      <c r="E54" s="10" t="inlineStr">
        <is>
          <t>MPC - Meijer Iams</t>
        </is>
      </c>
      <c r="F54" s="10" t="inlineStr">
        <is>
          <t>D26-0131 Graphic Panel</t>
        </is>
      </c>
      <c r="G54" s="8" t="n">
        <v>150</v>
      </c>
      <c r="H54" s="10" t="n">
        <v/>
      </c>
      <c r="I54" s="8" t="n"/>
      <c r="J54" s="10" t="inlineStr">
        <is>
          <t>Gloss</t>
        </is>
      </c>
      <c r="K54" s="11" t="n">
        <v>2068.49</v>
      </c>
      <c r="L54" s="11" t="n"/>
      <c r="M54" s="9" t="n"/>
      <c r="N54" s="10" t="inlineStr">
        <is>
          <t>unmatched</t>
        </is>
      </c>
    </row>
    <row r="55">
      <c r="A55" s="10" t="inlineStr">
        <is>
          <t>50-199</t>
        </is>
      </c>
      <c r="B55" s="8" t="n">
        <v>224286</v>
      </c>
      <c r="C55" s="10" t="inlineStr">
        <is>
          <t>FD-260820-144547</t>
        </is>
      </c>
      <c r="D55" s="10" t="inlineStr">
        <is>
          <t>PCA Ashland</t>
        </is>
      </c>
      <c r="E55" s="10" t="n">
        <v/>
      </c>
      <c r="F55" s="10" t="inlineStr">
        <is>
          <t>W11843789</t>
        </is>
      </c>
      <c r="G55" s="8" t="n">
        <v>150</v>
      </c>
      <c r="H55" s="10" t="n">
        <v/>
      </c>
      <c r="I55" s="8" t="n"/>
      <c r="J55" s="10" t="inlineStr">
        <is>
          <t>Satin</t>
        </is>
      </c>
      <c r="K55" s="11" t="n">
        <v>2961.18</v>
      </c>
      <c r="L55" s="11" t="n"/>
      <c r="M55" s="9" t="n"/>
      <c r="N55" s="10" t="inlineStr">
        <is>
          <t>no-iq-rows</t>
        </is>
      </c>
    </row>
    <row r="56">
      <c r="A56" s="10" t="inlineStr">
        <is>
          <t>50-199</t>
        </is>
      </c>
      <c r="B56" s="8" t="n">
        <v>223701</v>
      </c>
      <c r="C56" s="10" t="inlineStr">
        <is>
          <t>RW-260720-133223</t>
        </is>
      </c>
      <c r="D56" s="10" t="inlineStr">
        <is>
          <t>Tavens</t>
        </is>
      </c>
      <c r="E56" s="10" t="inlineStr">
        <is>
          <t>TR-10351 16x8.5x6</t>
        </is>
      </c>
      <c r="F56" s="10" t="inlineStr">
        <is>
          <t>Front Tuck Mailer 16x8.5x6</t>
        </is>
      </c>
      <c r="G56" s="8" t="n">
        <v>50</v>
      </c>
      <c r="H56" s="10" t="n">
        <v/>
      </c>
      <c r="I56" s="8" t="n"/>
      <c r="J56" s="10" t="inlineStr">
        <is>
          <t>Gloss</t>
        </is>
      </c>
      <c r="K56" s="11" t="n">
        <v>1377.16</v>
      </c>
      <c r="L56" s="11" t="n"/>
      <c r="M56" s="9" t="n"/>
      <c r="N56" s="10" t="inlineStr">
        <is>
          <t>unmatched</t>
        </is>
      </c>
    </row>
    <row r="57">
      <c r="A57" s="10" t="inlineStr">
        <is>
          <t>50-199</t>
        </is>
      </c>
      <c r="B57" s="8" t="n">
        <v>223701</v>
      </c>
      <c r="C57" s="10" t="inlineStr">
        <is>
          <t>RW-260720-133223</t>
        </is>
      </c>
      <c r="D57" s="10" t="inlineStr">
        <is>
          <t>Tavens</t>
        </is>
      </c>
      <c r="E57" s="10" t="inlineStr">
        <is>
          <t>TR-10351 16x8.5x6</t>
        </is>
      </c>
      <c r="F57" s="10" t="inlineStr">
        <is>
          <t>Front Tuck Mailer 16x8.5x3.25</t>
        </is>
      </c>
      <c r="G57" s="8" t="n">
        <v>50</v>
      </c>
      <c r="H57" s="10" t="n">
        <v/>
      </c>
      <c r="I57" s="8" t="n"/>
      <c r="J57" s="10" t="inlineStr">
        <is>
          <t>Gloss</t>
        </is>
      </c>
      <c r="K57" s="11" t="n">
        <v>923.86</v>
      </c>
      <c r="L57" s="11" t="n"/>
      <c r="M57" s="9" t="n"/>
      <c r="N57" s="10" t="inlineStr">
        <is>
          <t>unmatched</t>
        </is>
      </c>
    </row>
    <row r="58">
      <c r="A58" s="10" t="inlineStr">
        <is>
          <t>50-199</t>
        </is>
      </c>
      <c r="B58" s="8" t="n">
        <v>223701</v>
      </c>
      <c r="C58" s="10" t="inlineStr">
        <is>
          <t>RW-260720-133223</t>
        </is>
      </c>
      <c r="D58" s="10" t="inlineStr">
        <is>
          <t>Tavens</t>
        </is>
      </c>
      <c r="E58" s="10" t="inlineStr">
        <is>
          <t>TR-10351 16x8.5x6</t>
        </is>
      </c>
      <c r="F58" s="10" t="inlineStr">
        <is>
          <t>Front Tuck Mailer 16x8.5x6</t>
        </is>
      </c>
      <c r="G58" s="8" t="n">
        <v>100</v>
      </c>
      <c r="H58" s="10" t="n">
        <v/>
      </c>
      <c r="I58" s="8" t="n"/>
      <c r="J58" s="10" t="inlineStr">
        <is>
          <t>Gloss</t>
        </is>
      </c>
      <c r="K58" s="11" t="n">
        <v>1866.15</v>
      </c>
      <c r="L58" s="11" t="n"/>
      <c r="M58" s="9" t="n"/>
      <c r="N58" s="10" t="inlineStr">
        <is>
          <t>unmatched</t>
        </is>
      </c>
    </row>
    <row r="59">
      <c r="A59" s="10" t="inlineStr">
        <is>
          <t>50-199</t>
        </is>
      </c>
      <c r="B59" s="8" t="n">
        <v>223701</v>
      </c>
      <c r="C59" s="10" t="inlineStr">
        <is>
          <t>RW-260720-133223</t>
        </is>
      </c>
      <c r="D59" s="10" t="inlineStr">
        <is>
          <t>Tavens</t>
        </is>
      </c>
      <c r="E59" s="10" t="inlineStr">
        <is>
          <t>TR-10351 16x8.5x6</t>
        </is>
      </c>
      <c r="F59" s="10" t="inlineStr">
        <is>
          <t>Front Tuck Mailer 16x8.5x3.25</t>
        </is>
      </c>
      <c r="G59" s="8" t="n">
        <v>100</v>
      </c>
      <c r="H59" s="10" t="n">
        <v/>
      </c>
      <c r="I59" s="8" t="n"/>
      <c r="J59" s="10" t="inlineStr">
        <is>
          <t>Gloss</t>
        </is>
      </c>
      <c r="K59" s="11" t="n">
        <v>1346.05</v>
      </c>
      <c r="L59" s="11" t="n"/>
      <c r="M59" s="9" t="n"/>
      <c r="N59" s="10" t="inlineStr">
        <is>
          <t>unmatched</t>
        </is>
      </c>
    </row>
    <row r="60">
      <c r="A60" s="10" t="inlineStr">
        <is>
          <t>50-199</t>
        </is>
      </c>
      <c r="B60" s="8" t="n">
        <v>224257</v>
      </c>
      <c r="C60" s="10" t="inlineStr">
        <is>
          <t>CD-260818-152740</t>
        </is>
      </c>
      <c r="D60" s="10" t="inlineStr">
        <is>
          <t>Tavens</t>
        </is>
      </c>
      <c r="E60" s="10" t="inlineStr">
        <is>
          <t>Digital PW Display</t>
        </is>
      </c>
      <c r="F60" s="10" t="inlineStr">
        <is>
          <t>Display Base</t>
        </is>
      </c>
      <c r="G60" s="8" t="n">
        <v>100</v>
      </c>
      <c r="H60" s="10" t="n">
        <v/>
      </c>
      <c r="I60" s="8" t="n"/>
      <c r="J60" s="10" t="inlineStr">
        <is>
          <t>Satin</t>
        </is>
      </c>
      <c r="K60" s="11" t="n">
        <v>2318.55</v>
      </c>
      <c r="L60" s="11" t="n"/>
      <c r="M60" s="9" t="n"/>
      <c r="N60" s="10" t="inlineStr">
        <is>
          <t>unmatched</t>
        </is>
      </c>
    </row>
    <row r="61">
      <c r="A61" s="10" t="inlineStr">
        <is>
          <t>50-199</t>
        </is>
      </c>
      <c r="B61" s="8" t="n">
        <v>224257</v>
      </c>
      <c r="C61" s="10" t="inlineStr">
        <is>
          <t>CD-260818-152740</t>
        </is>
      </c>
      <c r="D61" s="10" t="inlineStr">
        <is>
          <t>Tavens</t>
        </is>
      </c>
      <c r="E61" s="10" t="inlineStr">
        <is>
          <t>Digital PW Display</t>
        </is>
      </c>
      <c r="F61" s="10" t="inlineStr">
        <is>
          <t>D/C Tray (Peg Board Power Wing)</t>
        </is>
      </c>
      <c r="G61" s="8" t="n">
        <v>100</v>
      </c>
      <c r="H61" s="10" t="n">
        <v/>
      </c>
      <c r="I61" s="8" t="n"/>
      <c r="J61" s="10" t="inlineStr">
        <is>
          <t>Satin</t>
        </is>
      </c>
      <c r="K61" s="11" t="n">
        <v>3110.14</v>
      </c>
      <c r="L61" s="11" t="n"/>
      <c r="M61" s="9" t="n"/>
      <c r="N61" s="10" t="inlineStr">
        <is>
          <t>unmatched</t>
        </is>
      </c>
    </row>
    <row r="62">
      <c r="A62" s="10" t="inlineStr">
        <is>
          <t>50-199</t>
        </is>
      </c>
      <c r="B62" s="8" t="n">
        <v>223376</v>
      </c>
      <c r="C62" s="10" t="inlineStr">
        <is>
          <t>RW-260727-105300</t>
        </is>
      </c>
      <c r="D62" s="10" t="n">
        <v/>
      </c>
      <c r="E62" s="10" t="inlineStr">
        <is>
          <t>MPC - Meijer Iams</t>
        </is>
      </c>
      <c r="F62" s="10" t="inlineStr">
        <is>
          <t>D26-0131 Graphic Panel</t>
        </is>
      </c>
      <c r="G62" s="8" t="n">
        <v>150</v>
      </c>
      <c r="H62" s="10" t="n">
        <v/>
      </c>
      <c r="I62" s="8" t="n"/>
      <c r="J62" s="10" t="inlineStr">
        <is>
          <t>Satin</t>
        </is>
      </c>
      <c r="K62" s="11" t="n">
        <v>1980.23</v>
      </c>
      <c r="L62" s="11" t="n"/>
      <c r="M62" s="9" t="n"/>
      <c r="N62" s="10" t="inlineStr">
        <is>
          <t>no-iq-rows</t>
        </is>
      </c>
    </row>
    <row r="63">
      <c r="A63" s="10" t="inlineStr">
        <is>
          <t>200-999</t>
        </is>
      </c>
      <c r="B63" s="8" t="n">
        <v>221299</v>
      </c>
      <c r="C63" s="10" t="inlineStr">
        <is>
          <t>RW-260720-093753</t>
        </is>
      </c>
      <c r="D63" s="10" t="inlineStr">
        <is>
          <t>GO2 Partners, Inc.</t>
        </is>
      </c>
      <c r="E63" s="10" t="inlineStr">
        <is>
          <t>3M Wall Repair Kit</t>
        </is>
      </c>
      <c r="F63" s="10" t="inlineStr">
        <is>
          <t>Premium Wall Repair Kit Box</t>
        </is>
      </c>
      <c r="G63" s="8" t="n">
        <v>300</v>
      </c>
      <c r="H63" s="10" t="n">
        <v/>
      </c>
      <c r="I63" s="8" t="n"/>
      <c r="J63" s="10" t="inlineStr">
        <is>
          <t>Satin</t>
        </is>
      </c>
      <c r="K63" s="11" t="n">
        <v>733.14</v>
      </c>
      <c r="L63" s="11" t="n"/>
      <c r="M63" s="9" t="n"/>
      <c r="N63" s="10" t="inlineStr">
        <is>
          <t>unmatched</t>
        </is>
      </c>
    </row>
    <row r="64">
      <c r="A64" s="10" t="inlineStr">
        <is>
          <t>200-999</t>
        </is>
      </c>
      <c r="B64" s="8" t="n">
        <v>224377</v>
      </c>
      <c r="C64" s="10" t="inlineStr">
        <is>
          <t>CD-260825-091053</t>
        </is>
      </c>
      <c r="D64" s="10" t="inlineStr">
        <is>
          <t>Mondelez International</t>
        </is>
      </c>
      <c r="E64" s="10" t="inlineStr">
        <is>
          <t>44000 90245 2027 Oreo IMC Large DBL Kit — Digital Innovation Hutch Kit</t>
        </is>
      </c>
      <c r="F64" s="10" t="inlineStr">
        <is>
          <t>Button Hutch – Print A</t>
        </is>
      </c>
      <c r="G64" s="8" t="n">
        <v>400</v>
      </c>
      <c r="H64" s="10" t="n">
        <v/>
      </c>
      <c r="I64" s="8" t="n"/>
      <c r="J64" s="10" t="inlineStr">
        <is>
          <t>Gloss</t>
        </is>
      </c>
      <c r="K64" s="11" t="n">
        <v>5726.28</v>
      </c>
      <c r="L64" s="11" t="n"/>
      <c r="M64" s="9" t="n"/>
      <c r="N64" s="10" t="inlineStr">
        <is>
          <t>unmatched</t>
        </is>
      </c>
    </row>
    <row r="65">
      <c r="A65" s="10" t="inlineStr">
        <is>
          <t>200-999</t>
        </is>
      </c>
      <c r="B65" s="8" t="n">
        <v>224377</v>
      </c>
      <c r="C65" s="10" t="inlineStr">
        <is>
          <t>CD-260825-091053</t>
        </is>
      </c>
      <c r="D65" s="10" t="inlineStr">
        <is>
          <t>Mondelez International</t>
        </is>
      </c>
      <c r="E65" s="10" t="inlineStr">
        <is>
          <t>44000 90245 2027 Oreo IMC Large DBL Kit — Digital Innovation Hutch Kit</t>
        </is>
      </c>
      <c r="F65" s="10" t="inlineStr">
        <is>
          <t>Large Hutch – Print B</t>
        </is>
      </c>
      <c r="G65" s="8" t="n">
        <v>400</v>
      </c>
      <c r="H65" s="10" t="n">
        <v/>
      </c>
      <c r="I65" s="8" t="n"/>
      <c r="J65" s="10" t="inlineStr">
        <is>
          <t>Gloss</t>
        </is>
      </c>
      <c r="K65" s="11" t="n">
        <v>5726.28</v>
      </c>
      <c r="L65" s="11" t="n"/>
      <c r="M65" s="9" t="n"/>
      <c r="N65" s="10" t="inlineStr">
        <is>
          <t>unmatched</t>
        </is>
      </c>
    </row>
    <row r="66">
      <c r="A66" s="10" t="inlineStr">
        <is>
          <t>200-999</t>
        </is>
      </c>
      <c r="B66" s="8" t="n">
        <v>224377</v>
      </c>
      <c r="C66" s="10" t="inlineStr">
        <is>
          <t>CD-260825-091053</t>
        </is>
      </c>
      <c r="D66" s="10" t="inlineStr">
        <is>
          <t>Mondelez International</t>
        </is>
      </c>
      <c r="E66" s="10" t="inlineStr">
        <is>
          <t>44000 90245 2027 Oreo IMC Large DBL Kit — Digital Innovation Hutch Kit</t>
        </is>
      </c>
      <c r="F66" s="10" t="inlineStr">
        <is>
          <t>Battery Motor Holders</t>
        </is>
      </c>
      <c r="G66" s="8" t="n">
        <v>400</v>
      </c>
      <c r="H66" s="10" t="n">
        <v/>
      </c>
      <c r="I66" s="8" t="n"/>
      <c r="J66" s="10" t="n"/>
      <c r="K66" s="11" t="n">
        <v>4884.83</v>
      </c>
      <c r="L66" s="11" t="n"/>
      <c r="M66" s="9" t="n"/>
      <c r="N66" s="10" t="inlineStr">
        <is>
          <t>unmatched</t>
        </is>
      </c>
    </row>
    <row r="67">
      <c r="A67" s="10" t="inlineStr">
        <is>
          <t>200-999</t>
        </is>
      </c>
      <c r="B67" s="8" t="n">
        <v>224362</v>
      </c>
      <c r="C67" s="10" t="inlineStr">
        <is>
          <t>CD-260821-152833</t>
        </is>
      </c>
      <c r="D67" s="10" t="inlineStr">
        <is>
          <t>PCA (Packaging Corporation of America)</t>
        </is>
      </c>
      <c r="E67" s="10" t="inlineStr">
        <is>
          <t>44000 90245 2027 Oreo IMC Large DBL Kit — Digital Innovation Add On kit</t>
        </is>
      </c>
      <c r="F67" s="10" t="inlineStr">
        <is>
          <t>Battery Motor Holders</t>
        </is>
      </c>
      <c r="G67" s="8" t="n">
        <v>460</v>
      </c>
      <c r="H67" s="10" t="n">
        <v/>
      </c>
      <c r="I67" s="8" t="n"/>
      <c r="J67" s="10" t="n"/>
      <c r="K67" s="11" t="n">
        <v>1738.87</v>
      </c>
      <c r="L67" s="11" t="n"/>
      <c r="M67" s="9" t="n"/>
      <c r="N67" s="10" t="inlineStr">
        <is>
          <t>unmatched</t>
        </is>
      </c>
    </row>
    <row r="68">
      <c r="A68" s="10" t="inlineStr">
        <is>
          <t>200-999</t>
        </is>
      </c>
      <c r="B68" s="8" t="n">
        <v>224362</v>
      </c>
      <c r="C68" s="10" t="inlineStr">
        <is>
          <t>CD-260821-152833</t>
        </is>
      </c>
      <c r="D68" s="10" t="inlineStr">
        <is>
          <t>PCA (Packaging Corporation of America)</t>
        </is>
      </c>
      <c r="E68" s="10" t="inlineStr">
        <is>
          <t>44000 90245 2027 Oreo IMC Large DBL Kit — Digital Innovation Add On kit</t>
        </is>
      </c>
      <c r="F68" s="10" t="inlineStr">
        <is>
          <t>Innovation Header</t>
        </is>
      </c>
      <c r="G68" s="8" t="n">
        <v>460</v>
      </c>
      <c r="H68" s="10" t="n">
        <v/>
      </c>
      <c r="I68" s="8" t="n"/>
      <c r="J68" s="10" t="inlineStr">
        <is>
          <t>Gloss</t>
        </is>
      </c>
      <c r="K68" s="11" t="n">
        <v>6840.1</v>
      </c>
      <c r="L68" s="11" t="n"/>
      <c r="M68" s="9" t="n"/>
      <c r="N68" s="10" t="inlineStr">
        <is>
          <t>unmatched</t>
        </is>
      </c>
    </row>
    <row r="69">
      <c r="A69" s="10" t="inlineStr">
        <is>
          <t>200-999</t>
        </is>
      </c>
      <c r="B69" s="8" t="n">
        <v>223702</v>
      </c>
      <c r="C69" s="10" t="inlineStr">
        <is>
          <t>RW-260720-132349</t>
        </is>
      </c>
      <c r="D69" s="10" t="inlineStr">
        <is>
          <t>PCA - Akron</t>
        </is>
      </c>
      <c r="E69" s="10" t="inlineStr">
        <is>
          <t>Vitamix 154042 POP - 2pc / 154727</t>
        </is>
      </c>
      <c r="F69" s="10" t="inlineStr">
        <is>
          <t>Vitamix POP Component 1 of 2</t>
        </is>
      </c>
      <c r="G69" s="8" t="n">
        <v>250</v>
      </c>
      <c r="H69" s="10" t="n">
        <v/>
      </c>
      <c r="I69" s="8" t="n"/>
      <c r="J69" s="10" t="inlineStr">
        <is>
          <t>Gloss</t>
        </is>
      </c>
      <c r="K69" s="11" t="n">
        <v>3767.42</v>
      </c>
      <c r="L69" s="11" t="n"/>
      <c r="M69" s="9" t="n"/>
      <c r="N69" s="10" t="inlineStr">
        <is>
          <t>unmatched</t>
        </is>
      </c>
    </row>
    <row r="70">
      <c r="A70" s="10" t="inlineStr">
        <is>
          <t>200-999</t>
        </is>
      </c>
      <c r="B70" s="8" t="n">
        <v>223702</v>
      </c>
      <c r="C70" s="10" t="inlineStr">
        <is>
          <t>RW-260720-132349</t>
        </is>
      </c>
      <c r="D70" s="10" t="inlineStr">
        <is>
          <t>PCA - Akron</t>
        </is>
      </c>
      <c r="E70" s="10" t="inlineStr">
        <is>
          <t>Vitamix 154042 POP - 2pc / 154727</t>
        </is>
      </c>
      <c r="F70" s="10" t="inlineStr">
        <is>
          <t>Vitamix POP Component 2 of 2</t>
        </is>
      </c>
      <c r="G70" s="8" t="n">
        <v>250</v>
      </c>
      <c r="H70" s="10" t="n">
        <v/>
      </c>
      <c r="I70" s="8" t="n"/>
      <c r="J70" s="10" t="inlineStr">
        <is>
          <t>Gloss</t>
        </is>
      </c>
      <c r="K70" s="11" t="n">
        <v>3767.42</v>
      </c>
      <c r="L70" s="11" t="n"/>
      <c r="M70" s="9" t="n"/>
      <c r="N70" s="10" t="inlineStr">
        <is>
          <t>unmatched</t>
        </is>
      </c>
    </row>
    <row r="71">
      <c r="A71" s="10" t="inlineStr">
        <is>
          <t>200-999</t>
        </is>
      </c>
      <c r="B71" s="8" t="n">
        <v>223702</v>
      </c>
      <c r="C71" s="10" t="inlineStr">
        <is>
          <t>RW-260720-132349</t>
        </is>
      </c>
      <c r="D71" s="10" t="inlineStr">
        <is>
          <t>PCA - Akron</t>
        </is>
      </c>
      <c r="E71" s="10" t="inlineStr">
        <is>
          <t>Vitamix 154042 POP - 2pc / 154727</t>
        </is>
      </c>
      <c r="F71" s="10" t="inlineStr">
        <is>
          <t>Vitamix POP Component 1 of 2</t>
        </is>
      </c>
      <c r="G71" s="8" t="n">
        <v>500</v>
      </c>
      <c r="H71" s="10" t="n">
        <v/>
      </c>
      <c r="I71" s="8" t="n"/>
      <c r="J71" s="10" t="inlineStr">
        <is>
          <t>Gloss</t>
        </is>
      </c>
      <c r="K71" s="11" t="n">
        <v>6895.23</v>
      </c>
      <c r="L71" s="11" t="n"/>
      <c r="M71" s="9" t="n"/>
      <c r="N71" s="10" t="inlineStr">
        <is>
          <t>unmatched</t>
        </is>
      </c>
    </row>
    <row r="72">
      <c r="A72" s="10" t="inlineStr">
        <is>
          <t>200-999</t>
        </is>
      </c>
      <c r="B72" s="8" t="n">
        <v>223702</v>
      </c>
      <c r="C72" s="10" t="inlineStr">
        <is>
          <t>RW-260720-132349</t>
        </is>
      </c>
      <c r="D72" s="10" t="inlineStr">
        <is>
          <t>PCA - Akron</t>
        </is>
      </c>
      <c r="E72" s="10" t="inlineStr">
        <is>
          <t>Vitamix 154042 POP - 2pc / 154727</t>
        </is>
      </c>
      <c r="F72" s="10" t="inlineStr">
        <is>
          <t>Vitamix POP Component 2 of 2</t>
        </is>
      </c>
      <c r="G72" s="8" t="n">
        <v>500</v>
      </c>
      <c r="H72" s="10" t="n">
        <v/>
      </c>
      <c r="I72" s="8" t="n"/>
      <c r="J72" s="10" t="inlineStr">
        <is>
          <t>Gloss</t>
        </is>
      </c>
      <c r="K72" s="11" t="n">
        <v>6895.23</v>
      </c>
      <c r="L72" s="11" t="n"/>
      <c r="M72" s="9" t="n"/>
      <c r="N72" s="10" t="inlineStr">
        <is>
          <t>unmatched</t>
        </is>
      </c>
    </row>
    <row r="73">
      <c r="A73" s="10" t="inlineStr">
        <is>
          <t>200-999</t>
        </is>
      </c>
      <c r="B73" s="8" t="n">
        <v>224271</v>
      </c>
      <c r="C73" s="10" t="inlineStr">
        <is>
          <t>FD-260827-065038</t>
        </is>
      </c>
      <c r="D73" s="10" t="inlineStr">
        <is>
          <t>PCA - Ashland</t>
        </is>
      </c>
      <c r="E73" s="10" t="n">
        <v/>
      </c>
      <c r="F73" s="10" t="inlineStr">
        <is>
          <t>Item 1 - Box</t>
        </is>
      </c>
      <c r="G73" s="8" t="n">
        <v>300</v>
      </c>
      <c r="H73" s="10" t="n">
        <v/>
      </c>
      <c r="I73" s="8" t="n"/>
      <c r="J73" s="10" t="inlineStr">
        <is>
          <t>Satin</t>
        </is>
      </c>
      <c r="K73" s="11" t="n">
        <v>8366.52</v>
      </c>
      <c r="L73" s="11" t="n"/>
      <c r="M73" s="9" t="n"/>
      <c r="N73" s="10" t="inlineStr">
        <is>
          <t>no-iq-rows</t>
        </is>
      </c>
    </row>
    <row r="74">
      <c r="A74" s="10" t="inlineStr">
        <is>
          <t>200-999</t>
        </is>
      </c>
      <c r="B74" s="8" t="n">
        <v>224271</v>
      </c>
      <c r="C74" s="10" t="inlineStr">
        <is>
          <t>FD-260827-065038</t>
        </is>
      </c>
      <c r="D74" s="10" t="inlineStr">
        <is>
          <t>PCA - Ashland</t>
        </is>
      </c>
      <c r="E74" s="10" t="n">
        <v/>
      </c>
      <c r="F74" s="10" t="inlineStr">
        <is>
          <t>Item 2 - Insert</t>
        </is>
      </c>
      <c r="G74" s="8" t="n">
        <v>300</v>
      </c>
      <c r="H74" s="10" t="n">
        <v/>
      </c>
      <c r="I74" s="8" t="n"/>
      <c r="J74" s="10" t="n"/>
      <c r="K74" s="11" t="n">
        <v>4779.73</v>
      </c>
      <c r="L74" s="11" t="n"/>
      <c r="M74" s="9" t="n"/>
      <c r="N74" s="10" t="inlineStr">
        <is>
          <t>no-iq-rows</t>
        </is>
      </c>
    </row>
    <row r="75">
      <c r="A75" s="10" t="inlineStr">
        <is>
          <t>200-999</t>
        </is>
      </c>
      <c r="B75" s="8" t="n">
        <v>224322</v>
      </c>
      <c r="C75" s="10" t="inlineStr">
        <is>
          <t>RW-260821-104005</t>
        </is>
      </c>
      <c r="D75" s="10" t="inlineStr">
        <is>
          <t>PCA - Ashland</t>
        </is>
      </c>
      <c r="E75" s="10" t="inlineStr">
        <is>
          <t>1736 Meijer TEMP C and T Holiday FP</t>
        </is>
      </c>
      <c r="F75" s="10" t="inlineStr">
        <is>
          <t>Side Panel — D 26-0366</t>
        </is>
      </c>
      <c r="G75" s="8" t="n">
        <v>600</v>
      </c>
      <c r="H75" s="10" t="n">
        <v/>
      </c>
      <c r="I75" s="8" t="n"/>
      <c r="J75" s="10" t="inlineStr">
        <is>
          <t>Satin</t>
        </is>
      </c>
      <c r="K75" s="11" t="n">
        <v>7775.16</v>
      </c>
      <c r="L75" s="11" t="n"/>
      <c r="M75" s="9" t="n"/>
      <c r="N75" s="10" t="inlineStr">
        <is>
          <t>unmatched</t>
        </is>
      </c>
    </row>
    <row r="76">
      <c r="A76" s="10" t="inlineStr">
        <is>
          <t>200-999</t>
        </is>
      </c>
      <c r="B76" s="8" t="n">
        <v>223583</v>
      </c>
      <c r="C76" s="10" t="inlineStr">
        <is>
          <t>RW-260722-092124</t>
        </is>
      </c>
      <c r="D76" s="10" t="inlineStr">
        <is>
          <t>PCA - New Oxford</t>
        </is>
      </c>
      <c r="E76" s="10" t="inlineStr">
        <is>
          <t>J63068 - Moen Lowes Prepacks (Project 7655)</t>
        </is>
      </c>
      <c r="F76" s="10" t="inlineStr">
        <is>
          <t>Item 2</t>
        </is>
      </c>
      <c r="G76" s="8" t="n">
        <v>919</v>
      </c>
      <c r="H76" s="10" t="n">
        <v/>
      </c>
      <c r="I76" s="8" t="n"/>
      <c r="J76" s="10" t="inlineStr">
        <is>
          <t>Gloss</t>
        </is>
      </c>
      <c r="K76" s="11" t="n">
        <v>5716.13</v>
      </c>
      <c r="L76" s="11" t="n"/>
      <c r="M76" s="9" t="n"/>
      <c r="N76" s="10" t="inlineStr">
        <is>
          <t>unmatched</t>
        </is>
      </c>
    </row>
    <row r="77">
      <c r="A77" s="10" t="inlineStr">
        <is>
          <t>200-999</t>
        </is>
      </c>
      <c r="B77" s="8" t="n">
        <v>223860</v>
      </c>
      <c r="C77" s="10" t="inlineStr">
        <is>
          <t>RW-260731-115427</t>
        </is>
      </c>
      <c r="D77" s="10" t="inlineStr">
        <is>
          <t>PCA - New Oxford</t>
        </is>
      </c>
      <c r="E77" s="10" t="inlineStr">
        <is>
          <t>J63240 - Sam's Club Filtration Pallet Display</t>
        </is>
      </c>
      <c r="F77" s="10" t="inlineStr">
        <is>
          <t>IBM (Display Body)</t>
        </is>
      </c>
      <c r="G77" s="8" t="n">
        <v>270</v>
      </c>
      <c r="H77" s="10" t="n">
        <v/>
      </c>
      <c r="I77" s="8" t="n"/>
      <c r="J77" s="10" t="inlineStr">
        <is>
          <t>Gloss</t>
        </is>
      </c>
      <c r="K77" s="11" t="n">
        <v>5265.01</v>
      </c>
      <c r="L77" s="11" t="n"/>
      <c r="M77" s="9" t="n"/>
      <c r="N77" s="10" t="inlineStr">
        <is>
          <t>unmatched</t>
        </is>
      </c>
    </row>
    <row r="78">
      <c r="A78" s="10" t="inlineStr">
        <is>
          <t>200-999</t>
        </is>
      </c>
      <c r="B78" s="8" t="n">
        <v>223860</v>
      </c>
      <c r="C78" s="10" t="inlineStr">
        <is>
          <t>RW-260731-115427</t>
        </is>
      </c>
      <c r="D78" s="10" t="inlineStr">
        <is>
          <t>PCA - New Oxford</t>
        </is>
      </c>
      <c r="E78" s="10" t="inlineStr">
        <is>
          <t>J63240 - Sam's Club Filtration Pallet Display</t>
        </is>
      </c>
      <c r="F78" s="10" t="inlineStr">
        <is>
          <t>Layer Tray</t>
        </is>
      </c>
      <c r="G78" s="8" t="n">
        <v>270</v>
      </c>
      <c r="H78" s="10" t="n">
        <v/>
      </c>
      <c r="I78" s="8" t="n"/>
      <c r="J78" s="10" t="inlineStr">
        <is>
          <t>Gloss</t>
        </is>
      </c>
      <c r="K78" s="11" t="n">
        <v>1642.25</v>
      </c>
      <c r="L78" s="11" t="n"/>
      <c r="M78" s="9" t="n"/>
      <c r="N78" s="10" t="inlineStr">
        <is>
          <t>unmatched</t>
        </is>
      </c>
    </row>
    <row r="79">
      <c r="A79" s="10" t="inlineStr">
        <is>
          <t>200-999</t>
        </is>
      </c>
      <c r="B79" s="8" t="n">
        <v>223860</v>
      </c>
      <c r="C79" s="10" t="inlineStr">
        <is>
          <t>RW-260731-115427</t>
        </is>
      </c>
      <c r="D79" s="10" t="inlineStr">
        <is>
          <t>PCA - New Oxford</t>
        </is>
      </c>
      <c r="E79" s="10" t="inlineStr">
        <is>
          <t>J63240 - Sam's Club Filtration Pallet Display</t>
        </is>
      </c>
      <c r="F79" s="10" t="inlineStr">
        <is>
          <t>Pallet Cap</t>
        </is>
      </c>
      <c r="G79" s="8" t="n">
        <v>270</v>
      </c>
      <c r="H79" s="10" t="n">
        <v/>
      </c>
      <c r="I79" s="8" t="n"/>
      <c r="J79" s="10" t="n"/>
      <c r="K79" s="11" t="n">
        <v>467.44</v>
      </c>
      <c r="L79" s="11" t="n"/>
      <c r="M79" s="9" t="n"/>
      <c r="N79" s="10" t="inlineStr">
        <is>
          <t>unmatched</t>
        </is>
      </c>
    </row>
    <row r="80">
      <c r="A80" s="10" t="inlineStr">
        <is>
          <t>200-999</t>
        </is>
      </c>
      <c r="B80" s="8" t="n">
        <v>223860</v>
      </c>
      <c r="C80" s="10" t="inlineStr">
        <is>
          <t>RW-260731-115427</t>
        </is>
      </c>
      <c r="D80" s="10" t="inlineStr">
        <is>
          <t>PCA - New Oxford</t>
        </is>
      </c>
      <c r="E80" s="10" t="inlineStr">
        <is>
          <t>J63240 - Sam's Club Filtration Pallet Display</t>
        </is>
      </c>
      <c r="F80" s="10" t="inlineStr">
        <is>
          <t>Back Filler</t>
        </is>
      </c>
      <c r="G80" s="8" t="n">
        <v>270</v>
      </c>
      <c r="H80" s="10" t="n">
        <v/>
      </c>
      <c r="I80" s="8" t="n"/>
      <c r="J80" s="10" t="inlineStr">
        <is>
          <t>Gloss</t>
        </is>
      </c>
      <c r="K80" s="11" t="n">
        <v>2209.69</v>
      </c>
      <c r="L80" s="11" t="n"/>
      <c r="M80" s="9" t="n"/>
      <c r="N80" s="10" t="inlineStr">
        <is>
          <t>unmatched</t>
        </is>
      </c>
    </row>
    <row r="81">
      <c r="A81" s="10" t="inlineStr">
        <is>
          <t>200-999</t>
        </is>
      </c>
      <c r="B81" s="8" t="n">
        <v>223957</v>
      </c>
      <c r="C81" s="10" t="inlineStr">
        <is>
          <t>RW-260820-091152</t>
        </is>
      </c>
      <c r="D81" s="10" t="inlineStr">
        <is>
          <t>PCA Cheswick</t>
        </is>
      </c>
      <c r="E81" s="10" t="inlineStr">
        <is>
          <t>C11 26 MNY WM Cryo Primer &amp; Spray Sidekick 130799</t>
        </is>
      </c>
      <c r="F81" s="10" t="inlineStr">
        <is>
          <t>Riser</t>
        </is>
      </c>
      <c r="G81" s="8" t="n">
        <v>480</v>
      </c>
      <c r="H81" s="10" t="n">
        <v/>
      </c>
      <c r="I81" s="8" t="n"/>
      <c r="J81" s="10" t="inlineStr">
        <is>
          <t>Gloss</t>
        </is>
      </c>
      <c r="K81" s="11" t="n">
        <v>1457.84</v>
      </c>
      <c r="L81" s="11" t="n"/>
      <c r="M81" s="9" t="n"/>
      <c r="N81" s="10" t="inlineStr">
        <is>
          <t>unmatched</t>
        </is>
      </c>
    </row>
    <row r="82">
      <c r="A82" s="10" t="inlineStr">
        <is>
          <t>200-999</t>
        </is>
      </c>
      <c r="B82" s="8" t="n">
        <v>222180</v>
      </c>
      <c r="C82" s="10" t="inlineStr">
        <is>
          <t>RW-260804-170132</t>
        </is>
      </c>
      <c r="D82" s="10" t="inlineStr">
        <is>
          <t>PCA Pennsylvania Acquisition Corporation</t>
        </is>
      </c>
      <c r="E82" s="10" t="inlineStr">
        <is>
          <t>Basic Resources - Reebok Kids Underwear</t>
        </is>
      </c>
      <c r="F82" s="10" t="inlineStr">
        <is>
          <t>Graphic End Cap — digitally printed &amp; cut</t>
        </is>
      </c>
      <c r="G82" s="8" t="n">
        <v>530</v>
      </c>
      <c r="H82" s="10" t="n">
        <v/>
      </c>
      <c r="I82" s="8" t="n"/>
      <c r="J82" s="10" t="inlineStr">
        <is>
          <t>Satin</t>
        </is>
      </c>
      <c r="K82" s="11" t="n">
        <v>7068.01</v>
      </c>
      <c r="L82" s="11" t="n"/>
      <c r="M82" s="9" t="n"/>
      <c r="N82" s="10" t="inlineStr">
        <is>
          <t>unmatched</t>
        </is>
      </c>
    </row>
    <row r="83">
      <c r="A83" s="10" t="inlineStr">
        <is>
          <t>200-999</t>
        </is>
      </c>
      <c r="B83" s="8" t="n">
        <v>223596</v>
      </c>
      <c r="C83" s="10" t="inlineStr">
        <is>
          <t>RW-260722-085112</t>
        </is>
      </c>
      <c r="D83" s="10" t="inlineStr">
        <is>
          <t>PCA Pennsylvania Acquisition Corporation</t>
        </is>
      </c>
      <c r="E83" s="10" t="inlineStr">
        <is>
          <t>RFQ Scotts 07-09-26</t>
        </is>
      </c>
      <c r="F83" s="10" t="inlineStr">
        <is>
          <t>Mini Pallet Band</t>
        </is>
      </c>
      <c r="G83" s="8" t="n">
        <v>700</v>
      </c>
      <c r="H83" s="10" t="n">
        <v/>
      </c>
      <c r="I83" s="8" t="n"/>
      <c r="J83" s="10" t="inlineStr">
        <is>
          <t>Satin</t>
        </is>
      </c>
      <c r="K83" s="11" t="n">
        <v>3307.2</v>
      </c>
      <c r="L83" s="11" t="n"/>
      <c r="M83" s="9" t="n"/>
      <c r="N83" s="10" t="inlineStr">
        <is>
          <t>unmatched</t>
        </is>
      </c>
    </row>
    <row r="84">
      <c r="A84" s="10" t="inlineStr">
        <is>
          <t>200-999</t>
        </is>
      </c>
      <c r="B84" s="8" t="n">
        <v>223882</v>
      </c>
      <c r="C84" s="10" t="inlineStr">
        <is>
          <t>RW-260730-155953</t>
        </is>
      </c>
      <c r="D84" s="10" t="inlineStr">
        <is>
          <t>PCA Pennsylvania Acquisition Corporation</t>
        </is>
      </c>
      <c r="E84" s="10" t="inlineStr">
        <is>
          <t>SpectroDolce - Fudge Tray Display</t>
        </is>
      </c>
      <c r="F84" s="10" t="inlineStr">
        <is>
          <t>Die Cut Tray</t>
        </is>
      </c>
      <c r="G84" s="8" t="n">
        <v>500</v>
      </c>
      <c r="H84" s="10" t="n">
        <v/>
      </c>
      <c r="I84" s="8" t="n"/>
      <c r="J84" s="10" t="inlineStr">
        <is>
          <t>Satin</t>
        </is>
      </c>
      <c r="K84" s="11" t="n">
        <v>2459.87</v>
      </c>
      <c r="L84" s="11" t="n"/>
      <c r="M84" s="9" t="n"/>
      <c r="N84" s="10" t="inlineStr">
        <is>
          <t>no-iq-rows</t>
        </is>
      </c>
    </row>
    <row r="85">
      <c r="A85" s="10" t="inlineStr">
        <is>
          <t>200-999</t>
        </is>
      </c>
      <c r="B85" s="8" t="n">
        <v>224464</v>
      </c>
      <c r="C85" s="10" t="inlineStr">
        <is>
          <t>FD-260827-073537</t>
        </is>
      </c>
      <c r="D85" s="10" t="inlineStr">
        <is>
          <t>PCA Pennsylvania Acquisition Corporation</t>
        </is>
      </c>
      <c r="E85" s="10" t="n">
        <v/>
      </c>
      <c r="F85" s="10" t="inlineStr">
        <is>
          <t>Item 3 - Riser</t>
        </is>
      </c>
      <c r="G85" s="8" t="n">
        <v>480</v>
      </c>
      <c r="H85" s="10" t="n">
        <v/>
      </c>
      <c r="I85" s="8" t="n"/>
      <c r="J85" s="10" t="inlineStr">
        <is>
          <t>Gloss</t>
        </is>
      </c>
      <c r="K85" s="11" t="n">
        <v>1675.73</v>
      </c>
      <c r="L85" s="11" t="n"/>
      <c r="M85" s="9" t="n"/>
      <c r="N85" s="10" t="inlineStr">
        <is>
          <t>unmatched</t>
        </is>
      </c>
    </row>
    <row r="86">
      <c r="A86" s="10" t="inlineStr">
        <is>
          <t>200-999</t>
        </is>
      </c>
      <c r="B86" s="8" t="n">
        <v>222085</v>
      </c>
      <c r="C86" s="10" t="inlineStr">
        <is>
          <t>RW-260622-133707</t>
        </is>
      </c>
      <c r="D86" s="10" t="inlineStr">
        <is>
          <t>Packaging Corporation of America</t>
        </is>
      </c>
      <c r="E86" s="10" t="inlineStr">
        <is>
          <t>Strat Pro Buttermelt PDQ - 2nd Grouping</t>
        </is>
      </c>
      <c r="F86" s="10" t="inlineStr">
        <is>
          <t>D/C Tray - Digital Print</t>
        </is>
      </c>
      <c r="G86" s="8" t="n">
        <v>515</v>
      </c>
      <c r="H86" s="10" t="n">
        <v/>
      </c>
      <c r="I86" s="8" t="n"/>
      <c r="J86" s="10" t="inlineStr">
        <is>
          <t>Satin</t>
        </is>
      </c>
      <c r="K86" s="11" t="n">
        <v>3104.88</v>
      </c>
      <c r="L86" s="11" t="n"/>
      <c r="M86" s="9" t="n"/>
      <c r="N86" s="10" t="inlineStr">
        <is>
          <t>unmatched</t>
        </is>
      </c>
    </row>
    <row r="87">
      <c r="A87" s="10" t="inlineStr">
        <is>
          <t>200-999</t>
        </is>
      </c>
      <c r="B87" s="8" t="n">
        <v>222085</v>
      </c>
      <c r="C87" s="10" t="inlineStr">
        <is>
          <t>RW-260622-133707</t>
        </is>
      </c>
      <c r="D87" s="10" t="inlineStr">
        <is>
          <t>Packaging Corporation of America</t>
        </is>
      </c>
      <c r="E87" s="10" t="inlineStr">
        <is>
          <t>Strat Pro Buttermelt PDQ - 2nd Grouping</t>
        </is>
      </c>
      <c r="F87" s="10" t="inlineStr">
        <is>
          <t>RSC Shipper - Direct Print 1C, Glued</t>
        </is>
      </c>
      <c r="G87" s="8" t="n">
        <v>515</v>
      </c>
      <c r="H87" s="10" t="n">
        <v/>
      </c>
      <c r="I87" s="8" t="n"/>
      <c r="J87" s="10" t="inlineStr">
        <is>
          <t>Satin</t>
        </is>
      </c>
      <c r="K87" s="11" t="n">
        <v>2686.87</v>
      </c>
      <c r="L87" s="11" t="n"/>
      <c r="M87" s="9" t="n"/>
      <c r="N87" s="10" t="inlineStr">
        <is>
          <t>unmatched</t>
        </is>
      </c>
    </row>
    <row r="88">
      <c r="A88" s="10" t="inlineStr">
        <is>
          <t>200-999</t>
        </is>
      </c>
      <c r="B88" s="8" t="n">
        <v>222085</v>
      </c>
      <c r="C88" s="10" t="inlineStr">
        <is>
          <t>RW-260622-133707</t>
        </is>
      </c>
      <c r="D88" s="10" t="inlineStr">
        <is>
          <t>Packaging Corporation of America</t>
        </is>
      </c>
      <c r="E88" s="10" t="inlineStr">
        <is>
          <t>Strat Pro Buttermelt PDQ - 2nd Grouping</t>
        </is>
      </c>
      <c r="F88" s="10" t="inlineStr">
        <is>
          <t>Filler - Plain, Scored</t>
        </is>
      </c>
      <c r="G88" s="8" t="n">
        <v>515</v>
      </c>
      <c r="H88" s="10" t="n">
        <v/>
      </c>
      <c r="I88" s="8" t="n"/>
      <c r="J88" s="10" t="n"/>
      <c r="K88" s="11" t="n">
        <v>759.6</v>
      </c>
      <c r="L88" s="11" t="n"/>
      <c r="M88" s="9" t="n"/>
      <c r="N88" s="10" t="inlineStr">
        <is>
          <t>unmatched</t>
        </is>
      </c>
    </row>
    <row r="89">
      <c r="A89" s="10" t="inlineStr">
        <is>
          <t>200-999</t>
        </is>
      </c>
      <c r="B89" s="8" t="n">
        <v>223488</v>
      </c>
      <c r="C89" s="10" t="inlineStr">
        <is>
          <t>RW-260706-094426</t>
        </is>
      </c>
      <c r="D89" s="10" t="inlineStr">
        <is>
          <t>Skybox Packaging, LLC</t>
        </is>
      </c>
      <c r="E89" s="10" t="inlineStr">
        <is>
          <t>Kent Displays Mailer &amp; Insert</t>
        </is>
      </c>
      <c r="F89" s="10" t="inlineStr">
        <is>
          <t>Mailer - Digital Print outside AND inside, CAD Cut</t>
        </is>
      </c>
      <c r="G89" s="8" t="n">
        <v>300</v>
      </c>
      <c r="H89" s="10" t="n">
        <v/>
      </c>
      <c r="I89" s="8" t="n"/>
      <c r="J89" s="10" t="inlineStr">
        <is>
          <t>Satin</t>
        </is>
      </c>
      <c r="K89" s="11" t="n">
        <v>1915.76</v>
      </c>
      <c r="L89" s="11" t="n"/>
      <c r="M89" s="9" t="n"/>
      <c r="N89" s="10" t="inlineStr">
        <is>
          <t>unmatched</t>
        </is>
      </c>
    </row>
    <row r="90">
      <c r="A90" s="10" t="inlineStr">
        <is>
          <t>200-999</t>
        </is>
      </c>
      <c r="B90" s="8" t="n">
        <v>223488</v>
      </c>
      <c r="C90" s="10" t="inlineStr">
        <is>
          <t>RW-260706-094426</t>
        </is>
      </c>
      <c r="D90" s="10" t="inlineStr">
        <is>
          <t>Skybox Packaging, LLC</t>
        </is>
      </c>
      <c r="E90" s="10" t="inlineStr">
        <is>
          <t>Kent Displays Mailer &amp; Insert</t>
        </is>
      </c>
      <c r="F90" s="10" t="inlineStr">
        <is>
          <t>Insert - Plain white 2 sides, CAD Cut</t>
        </is>
      </c>
      <c r="G90" s="8" t="n">
        <v>300</v>
      </c>
      <c r="H90" s="10" t="n">
        <v/>
      </c>
      <c r="I90" s="8" t="n"/>
      <c r="J90" s="10" t="n"/>
      <c r="K90" s="11" t="n">
        <v>1110.58</v>
      </c>
      <c r="L90" s="11" t="n"/>
      <c r="M90" s="9" t="n"/>
      <c r="N90" s="10" t="inlineStr">
        <is>
          <t>unmatched</t>
        </is>
      </c>
    </row>
    <row r="91">
      <c r="A91" s="10" t="inlineStr">
        <is>
          <t>200-999</t>
        </is>
      </c>
      <c r="B91" s="8" t="n">
        <v>223488</v>
      </c>
      <c r="C91" s="10" t="inlineStr">
        <is>
          <t>RW-260706-094426</t>
        </is>
      </c>
      <c r="D91" s="10" t="inlineStr">
        <is>
          <t>Skybox Packaging, LLC</t>
        </is>
      </c>
      <c r="E91" s="10" t="inlineStr">
        <is>
          <t>Kent Displays Mailer &amp; Insert</t>
        </is>
      </c>
      <c r="F91" s="10" t="inlineStr">
        <is>
          <t>Insert - White 2 sides, 100% coverage outside, Digital Print outside, CAD Cut</t>
        </is>
      </c>
      <c r="G91" s="8" t="n">
        <v>300</v>
      </c>
      <c r="H91" s="10" t="n">
        <v/>
      </c>
      <c r="I91" s="8" t="n"/>
      <c r="J91" s="10" t="inlineStr">
        <is>
          <t>Satin</t>
        </is>
      </c>
      <c r="K91" s="11" t="n">
        <v>1856.56</v>
      </c>
      <c r="L91" s="11" t="n"/>
      <c r="M91" s="9" t="n"/>
      <c r="N91" s="10" t="inlineStr">
        <is>
          <t>unmatched</t>
        </is>
      </c>
    </row>
    <row r="92">
      <c r="A92" s="10" t="inlineStr">
        <is>
          <t>200-999</t>
        </is>
      </c>
      <c r="B92" s="8" t="n">
        <v>223488</v>
      </c>
      <c r="C92" s="10" t="inlineStr">
        <is>
          <t>RW-260706-094426</t>
        </is>
      </c>
      <c r="D92" s="10" t="inlineStr">
        <is>
          <t>Skybox Packaging, LLC</t>
        </is>
      </c>
      <c r="E92" s="10" t="inlineStr">
        <is>
          <t>Kent Displays Mailer &amp; Insert</t>
        </is>
      </c>
      <c r="F92" s="10" t="inlineStr">
        <is>
          <t>Insert - Plain kraft, CAD Cut</t>
        </is>
      </c>
      <c r="G92" s="8" t="n">
        <v>300</v>
      </c>
      <c r="H92" s="10" t="n">
        <v/>
      </c>
      <c r="I92" s="8" t="n"/>
      <c r="J92" s="10" t="n"/>
      <c r="K92" s="11" t="n">
        <v>1062.33</v>
      </c>
      <c r="L92" s="11" t="n"/>
      <c r="M92" s="9" t="n"/>
      <c r="N92" s="10" t="inlineStr">
        <is>
          <t>unmatched</t>
        </is>
      </c>
    </row>
    <row r="93">
      <c r="A93" s="10" t="inlineStr">
        <is>
          <t>200-999</t>
        </is>
      </c>
      <c r="B93" s="8" t="n">
        <v>223488</v>
      </c>
      <c r="C93" s="10" t="inlineStr">
        <is>
          <t>RW-260706-094426</t>
        </is>
      </c>
      <c r="D93" s="10" t="inlineStr">
        <is>
          <t>Skybox Packaging, LLC</t>
        </is>
      </c>
      <c r="E93" s="10" t="inlineStr">
        <is>
          <t>Kent Displays Mailer &amp; Insert</t>
        </is>
      </c>
      <c r="F93" s="10" t="inlineStr">
        <is>
          <t>Insert - Plain kraft with 100% coverage outside, Digital Print outside, CAD Cut</t>
        </is>
      </c>
      <c r="G93" s="8" t="n">
        <v>300</v>
      </c>
      <c r="H93" s="10" t="n">
        <v/>
      </c>
      <c r="I93" s="8" t="n"/>
      <c r="J93" s="10" t="inlineStr">
        <is>
          <t>Satin</t>
        </is>
      </c>
      <c r="K93" s="11" t="n">
        <v>1800.69</v>
      </c>
      <c r="L93" s="11" t="n"/>
      <c r="M93" s="9" t="n"/>
      <c r="N93" s="10" t="inlineStr">
        <is>
          <t>unmatched</t>
        </is>
      </c>
    </row>
    <row r="94">
      <c r="A94" s="10" t="inlineStr">
        <is>
          <t>200-999</t>
        </is>
      </c>
      <c r="B94" s="8" t="n">
        <v>223575</v>
      </c>
      <c r="C94" s="10" t="inlineStr">
        <is>
          <t>RW-260727-144121</t>
        </is>
      </c>
      <c r="D94" s="10" t="inlineStr">
        <is>
          <t>Skybox Packaging, LLC</t>
        </is>
      </c>
      <c r="E94" s="10" t="inlineStr">
        <is>
          <t>ICM Distributing Company Header</t>
        </is>
      </c>
      <c r="F94" s="10" t="inlineStr">
        <is>
          <t>Display Header</t>
        </is>
      </c>
      <c r="G94" s="8" t="n">
        <v>500</v>
      </c>
      <c r="H94" s="10" t="n">
        <v/>
      </c>
      <c r="I94" s="8" t="n"/>
      <c r="J94" s="10" t="inlineStr">
        <is>
          <t>Satin</t>
        </is>
      </c>
      <c r="K94" s="11" t="n">
        <v>1259.41</v>
      </c>
      <c r="L94" s="11" t="n"/>
      <c r="M94" s="9" t="n"/>
      <c r="N94" s="10" t="inlineStr">
        <is>
          <t>no-iq-rows</t>
        </is>
      </c>
    </row>
    <row r="95">
      <c r="A95" s="10" t="inlineStr">
        <is>
          <t>200-999</t>
        </is>
      </c>
      <c r="B95" s="8" t="n">
        <v>223864</v>
      </c>
      <c r="C95" s="10" t="inlineStr">
        <is>
          <t>CS-260803-133009</t>
        </is>
      </c>
      <c r="D95" s="10" t="inlineStr">
        <is>
          <t>Skybox Packaging, LLC</t>
        </is>
      </c>
      <c r="E95" s="10" t="inlineStr">
        <is>
          <t>Targeted Pet Treats - Country Kitchen Promotional Shipper</t>
        </is>
      </c>
      <c r="F95" s="10" t="inlineStr">
        <is>
          <t>Tray (2-up)</t>
        </is>
      </c>
      <c r="G95" s="8" t="n">
        <v>500</v>
      </c>
      <c r="H95" s="10" t="n">
        <v/>
      </c>
      <c r="I95" s="8" t="n"/>
      <c r="J95" s="10" t="inlineStr">
        <is>
          <t>Satin</t>
        </is>
      </c>
      <c r="K95" s="11" t="n">
        <v>2699.4</v>
      </c>
      <c r="L95" s="11" t="n"/>
      <c r="M95" s="9" t="n"/>
      <c r="N95" s="10" t="inlineStr">
        <is>
          <t>unmatched</t>
        </is>
      </c>
    </row>
    <row r="96">
      <c r="A96" s="10" t="inlineStr">
        <is>
          <t>200-999</t>
        </is>
      </c>
      <c r="B96" s="8" t="n">
        <v>223878</v>
      </c>
      <c r="C96" s="10" t="inlineStr">
        <is>
          <t>RW-260731-113050</t>
        </is>
      </c>
      <c r="D96" s="10" t="inlineStr">
        <is>
          <t>Skybox Packaging, LLC</t>
        </is>
      </c>
      <c r="E96" s="10" t="inlineStr">
        <is>
          <t>Walmart Sidekick Display - Lubrication Specialties (Hot Shot's Secret)</t>
        </is>
      </c>
      <c r="F96" s="10" t="inlineStr">
        <is>
          <t>Header - digitally printed and CAD cut</t>
        </is>
      </c>
      <c r="G96" s="8" t="n">
        <v>250</v>
      </c>
      <c r="H96" s="10" t="n">
        <v/>
      </c>
      <c r="I96" s="8" t="n"/>
      <c r="J96" s="10" t="inlineStr">
        <is>
          <t>Satin</t>
        </is>
      </c>
      <c r="K96" s="11" t="n">
        <v>1070.82</v>
      </c>
      <c r="L96" s="11" t="n"/>
      <c r="M96" s="9" t="n"/>
      <c r="N96" s="10" t="inlineStr">
        <is>
          <t>unmatched</t>
        </is>
      </c>
    </row>
    <row r="97">
      <c r="A97" s="10" t="inlineStr">
        <is>
          <t>200-999</t>
        </is>
      </c>
      <c r="B97" s="8" t="n">
        <v>223878</v>
      </c>
      <c r="C97" s="10" t="inlineStr">
        <is>
          <t>RW-260731-113050</t>
        </is>
      </c>
      <c r="D97" s="10" t="inlineStr">
        <is>
          <t>Skybox Packaging, LLC</t>
        </is>
      </c>
      <c r="E97" s="10" t="inlineStr">
        <is>
          <t>Walmart Sidekick Display - Lubrication Specialties (Hot Shot's Secret)</t>
        </is>
      </c>
      <c r="F97" s="10" t="inlineStr">
        <is>
          <t>Header - digitally printed and CAD cut</t>
        </is>
      </c>
      <c r="G97" s="8" t="n">
        <v>500</v>
      </c>
      <c r="H97" s="10" t="n">
        <v/>
      </c>
      <c r="I97" s="8" t="n"/>
      <c r="J97" s="10" t="inlineStr">
        <is>
          <t>Satin</t>
        </is>
      </c>
      <c r="K97" s="11" t="n">
        <v>1385.72</v>
      </c>
      <c r="L97" s="11" t="n"/>
      <c r="M97" s="9" t="n"/>
      <c r="N97" s="10" t="inlineStr">
        <is>
          <t>unmatched</t>
        </is>
      </c>
    </row>
    <row r="98">
      <c r="A98" s="10" t="inlineStr">
        <is>
          <t>200-999</t>
        </is>
      </c>
      <c r="B98" s="8" t="n">
        <v>223393</v>
      </c>
      <c r="C98" s="10" t="inlineStr">
        <is>
          <t>RW-260804-132826</t>
        </is>
      </c>
      <c r="D98" s="10" t="inlineStr">
        <is>
          <t>Spring Cove Container, Inc</t>
        </is>
      </c>
      <c r="E98" s="10" t="inlineStr">
        <is>
          <t>Whirlpool Press Sheet</t>
        </is>
      </c>
      <c r="F98" s="10" t="inlineStr">
        <is>
          <t>SC24-101</t>
        </is>
      </c>
      <c r="G98" s="8" t="n">
        <v>230</v>
      </c>
      <c r="H98" s="10" t="n">
        <v/>
      </c>
      <c r="I98" s="8" t="n"/>
      <c r="J98" s="10" t="inlineStr">
        <is>
          <t>Gloss</t>
        </is>
      </c>
      <c r="K98" s="11" t="n">
        <v>1664.9</v>
      </c>
      <c r="L98" s="11" t="n"/>
      <c r="M98" s="9" t="n"/>
      <c r="N98" s="10" t="inlineStr">
        <is>
          <t>no-iq-rows</t>
        </is>
      </c>
    </row>
    <row r="99">
      <c r="A99" s="10" t="inlineStr">
        <is>
          <t>200-999</t>
        </is>
      </c>
      <c r="B99" s="8" t="n">
        <v>223597</v>
      </c>
      <c r="C99" s="10" t="inlineStr">
        <is>
          <t>RW-260730-155412</t>
        </is>
      </c>
      <c r="D99" s="10" t="inlineStr">
        <is>
          <t>Tavens</t>
        </is>
      </c>
      <c r="E99" s="10" t="inlineStr">
        <is>
          <t>New Piston Kit</t>
        </is>
      </c>
      <c r="F99" s="10" t="inlineStr">
        <is>
          <t>Front Tuck w/ Partition</t>
        </is>
      </c>
      <c r="G99" s="8" t="n">
        <v>250</v>
      </c>
      <c r="H99" s="10" t="n">
        <v/>
      </c>
      <c r="I99" s="8" t="n"/>
      <c r="J99" s="10" t="inlineStr">
        <is>
          <t>Gloss</t>
        </is>
      </c>
      <c r="K99" s="11" t="n">
        <v>3071.43</v>
      </c>
      <c r="L99" s="11" t="n"/>
      <c r="M99" s="9" t="n"/>
      <c r="N99" s="10" t="inlineStr">
        <is>
          <t>no-iq-rows</t>
        </is>
      </c>
    </row>
    <row r="100">
      <c r="A100" s="10" t="inlineStr">
        <is>
          <t>200-999</t>
        </is>
      </c>
      <c r="B100" s="8" t="n">
        <v>223701</v>
      </c>
      <c r="C100" s="10" t="inlineStr">
        <is>
          <t>RW-260720-133223</t>
        </is>
      </c>
      <c r="D100" s="10" t="inlineStr">
        <is>
          <t>Tavens</t>
        </is>
      </c>
      <c r="E100" s="10" t="inlineStr">
        <is>
          <t>TR-10351 16x8.5x6</t>
        </is>
      </c>
      <c r="F100" s="10" t="inlineStr">
        <is>
          <t>Front Tuck Mailer 16x8.5x6</t>
        </is>
      </c>
      <c r="G100" s="8" t="n">
        <v>200</v>
      </c>
      <c r="H100" s="10" t="n">
        <v/>
      </c>
      <c r="I100" s="8" t="n"/>
      <c r="J100" s="10" t="inlineStr">
        <is>
          <t>Gloss</t>
        </is>
      </c>
      <c r="K100" s="11" t="n">
        <v>3138.14</v>
      </c>
      <c r="L100" s="11" t="n"/>
      <c r="M100" s="9" t="n"/>
      <c r="N100" s="10" t="inlineStr">
        <is>
          <t>unmatched</t>
        </is>
      </c>
    </row>
    <row r="101">
      <c r="A101" s="10" t="inlineStr">
        <is>
          <t>200-999</t>
        </is>
      </c>
      <c r="B101" s="8" t="n">
        <v>223701</v>
      </c>
      <c r="C101" s="10" t="inlineStr">
        <is>
          <t>RW-260720-133223</t>
        </is>
      </c>
      <c r="D101" s="10" t="inlineStr">
        <is>
          <t>Tavens</t>
        </is>
      </c>
      <c r="E101" s="10" t="inlineStr">
        <is>
          <t>TR-10351 16x8.5x6</t>
        </is>
      </c>
      <c r="F101" s="10" t="inlineStr">
        <is>
          <t>Front Tuck Mailer 16x8.5x3.25</t>
        </is>
      </c>
      <c r="G101" s="8" t="n">
        <v>200</v>
      </c>
      <c r="H101" s="10" t="n">
        <v/>
      </c>
      <c r="I101" s="8" t="n"/>
      <c r="J101" s="10" t="inlineStr">
        <is>
          <t>Gloss</t>
        </is>
      </c>
      <c r="K101" s="11" t="n">
        <v>1748.74</v>
      </c>
      <c r="L101" s="11" t="n"/>
      <c r="M101" s="9" t="n"/>
      <c r="N101" s="10" t="inlineStr">
        <is>
          <t>unmatched</t>
        </is>
      </c>
    </row>
    <row r="102">
      <c r="A102" s="10" t="inlineStr">
        <is>
          <t>200-999</t>
        </is>
      </c>
      <c r="B102" s="8" t="n">
        <v>222557</v>
      </c>
      <c r="C102" s="10" t="inlineStr">
        <is>
          <t>RW-260806-112750</t>
        </is>
      </c>
      <c r="D102" s="10" t="n">
        <v/>
      </c>
      <c r="E102" s="10" t="inlineStr">
        <is>
          <t>Kroger Corn Display Rework</t>
        </is>
      </c>
      <c r="F102" s="10" t="inlineStr">
        <is>
          <t>D/C Non-Joined</t>
        </is>
      </c>
      <c r="G102" s="8" t="n">
        <v>250</v>
      </c>
      <c r="H102" s="10" t="n">
        <v/>
      </c>
      <c r="I102" s="8" t="n"/>
      <c r="J102" s="10" t="inlineStr">
        <is>
          <t>Gloss</t>
        </is>
      </c>
      <c r="K102" s="11" t="n">
        <v>6487.97</v>
      </c>
      <c r="L102" s="11" t="n"/>
      <c r="M102" s="9" t="n"/>
      <c r="N102" s="10" t="inlineStr">
        <is>
          <t>no-iq-rows</t>
        </is>
      </c>
    </row>
    <row r="103">
      <c r="A103" s="10" t="inlineStr">
        <is>
          <t>200-999</t>
        </is>
      </c>
      <c r="B103" s="8" t="n">
        <v>223583</v>
      </c>
      <c r="C103" s="10" t="inlineStr">
        <is>
          <t>RW-260720-082503</t>
        </is>
      </c>
      <c r="D103" s="10" t="n">
        <v/>
      </c>
      <c r="E103" s="10" t="inlineStr">
        <is>
          <t>J63068 - Moen Lowes Prepacks (Project 7655)</t>
        </is>
      </c>
      <c r="F103" s="10" t="inlineStr">
        <is>
          <t xml:space="preserve">Header </t>
        </is>
      </c>
      <c r="G103" s="8" t="n">
        <v>918</v>
      </c>
      <c r="H103" s="10" t="n">
        <v/>
      </c>
      <c r="I103" s="8" t="n"/>
      <c r="J103" s="10" t="inlineStr">
        <is>
          <t>Gloss</t>
        </is>
      </c>
      <c r="K103" s="11" t="n">
        <v>3144.51</v>
      </c>
      <c r="L103" s="11" t="n"/>
      <c r="M103" s="9" t="n"/>
      <c r="N103" s="10" t="inlineStr">
        <is>
          <t>unmatched</t>
        </is>
      </c>
    </row>
    <row r="104">
      <c r="A104" s="10" t="inlineStr">
        <is>
          <t>200-999</t>
        </is>
      </c>
      <c r="B104" s="8" t="n">
        <v>223583</v>
      </c>
      <c r="C104" s="10" t="inlineStr">
        <is>
          <t>RW-260720-082503</t>
        </is>
      </c>
      <c r="D104" s="10" t="n">
        <v/>
      </c>
      <c r="E104" s="10" t="inlineStr">
        <is>
          <t>J63068 - Moen Lowes Prepacks (Project 7655)</t>
        </is>
      </c>
      <c r="F104" s="10" t="inlineStr">
        <is>
          <t xml:space="preserve">Header </t>
        </is>
      </c>
      <c r="G104" s="8" t="n">
        <v>918</v>
      </c>
      <c r="H104" s="10" t="n">
        <v/>
      </c>
      <c r="I104" s="8" t="n"/>
      <c r="J104" s="10" t="inlineStr">
        <is>
          <t>Gloss</t>
        </is>
      </c>
      <c r="K104" s="11" t="n">
        <v>5286.17</v>
      </c>
      <c r="L104" s="11" t="n"/>
      <c r="M104" s="9" t="n"/>
      <c r="N104" s="10" t="inlineStr">
        <is>
          <t>unmatched</t>
        </is>
      </c>
    </row>
    <row r="105">
      <c r="A105" s="10" t="inlineStr">
        <is>
          <t>200-999</t>
        </is>
      </c>
      <c r="B105" s="8" t="n">
        <v>223837</v>
      </c>
      <c r="C105" s="10" t="inlineStr">
        <is>
          <t>RW-260730-153734</t>
        </is>
      </c>
      <c r="D105" s="10" t="n">
        <v/>
      </c>
      <c r="E105" s="10" t="inlineStr">
        <is>
          <t>Cento Authentic Italian Header</t>
        </is>
      </c>
      <c r="F105" s="10" t="inlineStr">
        <is>
          <t>Display Header</t>
        </is>
      </c>
      <c r="G105" s="8" t="n">
        <v>500</v>
      </c>
      <c r="H105" s="10" t="n">
        <v/>
      </c>
      <c r="I105" s="8" t="n"/>
      <c r="J105" s="10" t="inlineStr">
        <is>
          <t>Gloss</t>
        </is>
      </c>
      <c r="K105" s="11" t="n">
        <v>1668.47</v>
      </c>
      <c r="L105" s="11" t="n"/>
      <c r="M105" s="9" t="n"/>
      <c r="N105" s="10" t="inlineStr">
        <is>
          <t>unmatched</t>
        </is>
      </c>
    </row>
    <row r="106">
      <c r="A106" s="10" t="inlineStr">
        <is>
          <t>1000-4999</t>
        </is>
      </c>
      <c r="B106" s="8" t="n">
        <v>223318</v>
      </c>
      <c r="C106" s="10" t="inlineStr">
        <is>
          <t>RW-260807-140331</t>
        </is>
      </c>
      <c r="D106" s="10" t="inlineStr">
        <is>
          <t>Apex Display Group</t>
        </is>
      </c>
      <c r="E106" s="10" t="inlineStr">
        <is>
          <t xml:space="preserve">36ct 3 Step FD </t>
        </is>
      </c>
      <c r="F106" s="10" t="inlineStr">
        <is>
          <t>Header - Kemi/Kraft Option</t>
        </is>
      </c>
      <c r="G106" s="8" t="n">
        <v>1000</v>
      </c>
      <c r="H106" s="10" t="n">
        <v/>
      </c>
      <c r="I106" s="8" t="n"/>
      <c r="J106" s="10" t="inlineStr">
        <is>
          <t>Gloss</t>
        </is>
      </c>
      <c r="K106" s="11" t="n">
        <v>1815.76</v>
      </c>
      <c r="L106" s="11" t="n"/>
      <c r="M106" s="9" t="n"/>
      <c r="N106" s="10" t="inlineStr">
        <is>
          <t>unmatched</t>
        </is>
      </c>
    </row>
    <row r="107">
      <c r="A107" s="10" t="inlineStr">
        <is>
          <t>1000-4999</t>
        </is>
      </c>
      <c r="B107" s="8" t="n">
        <v>223318</v>
      </c>
      <c r="C107" s="10" t="inlineStr">
        <is>
          <t>RW-260807-140331</t>
        </is>
      </c>
      <c r="D107" s="10" t="inlineStr">
        <is>
          <t>Apex Display Group</t>
        </is>
      </c>
      <c r="E107" s="10" t="inlineStr">
        <is>
          <t xml:space="preserve">36ct 3 Step FD </t>
        </is>
      </c>
      <c r="F107" s="10" t="inlineStr">
        <is>
          <t>Header - Kemi/Kraft Option</t>
        </is>
      </c>
      <c r="G107" s="8" t="n">
        <v>1500</v>
      </c>
      <c r="H107" s="10" t="n">
        <v/>
      </c>
      <c r="I107" s="8" t="n"/>
      <c r="J107" s="10" t="inlineStr">
        <is>
          <t>Gloss</t>
        </is>
      </c>
      <c r="K107" s="11" t="n">
        <v>2445.5</v>
      </c>
      <c r="L107" s="11" t="n"/>
      <c r="M107" s="9" t="n"/>
      <c r="N107" s="10" t="inlineStr">
        <is>
          <t>unmatched</t>
        </is>
      </c>
    </row>
    <row r="108">
      <c r="A108" s="10" t="inlineStr">
        <is>
          <t>1000-4999</t>
        </is>
      </c>
      <c r="B108" s="8" t="n">
        <v>223882</v>
      </c>
      <c r="C108" s="10" t="inlineStr">
        <is>
          <t>RW-260730-155953</t>
        </is>
      </c>
      <c r="D108" s="10" t="inlineStr">
        <is>
          <t>PCA Pennsylvania Acquisition Corporation</t>
        </is>
      </c>
      <c r="E108" s="10" t="inlineStr">
        <is>
          <t>SpectroDolce - Fudge Tray Display</t>
        </is>
      </c>
      <c r="F108" s="10" t="inlineStr">
        <is>
          <t>Die Cut Tray</t>
        </is>
      </c>
      <c r="G108" s="8" t="n">
        <v>1000</v>
      </c>
      <c r="H108" s="10" t="n">
        <v/>
      </c>
      <c r="I108" s="8" t="n"/>
      <c r="J108" s="10" t="inlineStr">
        <is>
          <t>Satin</t>
        </is>
      </c>
      <c r="K108" s="11" t="n">
        <v>3826.23</v>
      </c>
      <c r="L108" s="11" t="n"/>
      <c r="M108" s="9" t="n"/>
      <c r="N108" s="10" t="inlineStr">
        <is>
          <t>no-iq-rows</t>
        </is>
      </c>
    </row>
    <row r="109">
      <c r="A109" s="10" t="inlineStr">
        <is>
          <t>1000-4999</t>
        </is>
      </c>
      <c r="B109" s="8" t="n">
        <v>223864</v>
      </c>
      <c r="C109" s="10" t="inlineStr">
        <is>
          <t>CS-260803-133009</t>
        </is>
      </c>
      <c r="D109" s="10" t="inlineStr">
        <is>
          <t>Skybox Packaging, LLC</t>
        </is>
      </c>
      <c r="E109" s="10" t="inlineStr">
        <is>
          <t>Targeted Pet Treats - Country Kitchen Promotional Shipper</t>
        </is>
      </c>
      <c r="F109" s="10" t="inlineStr">
        <is>
          <t>Shelf</t>
        </is>
      </c>
      <c r="G109" s="8" t="n">
        <v>1000</v>
      </c>
      <c r="H109" s="10" t="n">
        <v/>
      </c>
      <c r="I109" s="8" t="n"/>
      <c r="J109" s="10" t="inlineStr">
        <is>
          <t>Satin</t>
        </is>
      </c>
      <c r="K109" s="11" t="n">
        <v>22080.3</v>
      </c>
      <c r="L109" s="11" t="n"/>
      <c r="M109" s="9" t="n"/>
      <c r="N109" s="10" t="inlineStr">
        <is>
          <t>unmatched</t>
        </is>
      </c>
    </row>
    <row r="110">
      <c r="A110" s="10" t="inlineStr">
        <is>
          <t>1000-4999</t>
        </is>
      </c>
      <c r="B110" s="8" t="n">
        <v>223864</v>
      </c>
      <c r="C110" s="10" t="inlineStr">
        <is>
          <t>CS-260803-133009</t>
        </is>
      </c>
      <c r="D110" s="10" t="inlineStr">
        <is>
          <t>Skybox Packaging, LLC</t>
        </is>
      </c>
      <c r="E110" s="10" t="inlineStr">
        <is>
          <t>Targeted Pet Treats - Country Kitchen Promotional Shipper</t>
        </is>
      </c>
      <c r="F110" s="10" t="inlineStr">
        <is>
          <t>Tray (2-up)</t>
        </is>
      </c>
      <c r="G110" s="8" t="n">
        <v>1000</v>
      </c>
      <c r="H110" s="10" t="n">
        <v/>
      </c>
      <c r="I110" s="8" t="n"/>
      <c r="J110" s="10" t="inlineStr">
        <is>
          <t>Satin</t>
        </is>
      </c>
      <c r="K110" s="11" t="n">
        <v>3435.11</v>
      </c>
      <c r="L110" s="11" t="n"/>
      <c r="M110" s="9" t="n"/>
      <c r="N110" s="10" t="inlineStr">
        <is>
          <t>unmatched</t>
        </is>
      </c>
    </row>
    <row r="111">
      <c r="A111" s="10" t="inlineStr">
        <is>
          <t>1000-4999</t>
        </is>
      </c>
      <c r="B111" s="8" t="n">
        <v>223864</v>
      </c>
      <c r="C111" s="10" t="inlineStr">
        <is>
          <t>CS-260803-133009</t>
        </is>
      </c>
      <c r="D111" s="10" t="inlineStr">
        <is>
          <t>Skybox Packaging, LLC</t>
        </is>
      </c>
      <c r="E111" s="10" t="inlineStr">
        <is>
          <t>Targeted Pet Treats - Country Kitchen Promotional Shipper</t>
        </is>
      </c>
      <c r="F111" s="10" t="inlineStr">
        <is>
          <t>Shelf</t>
        </is>
      </c>
      <c r="G111" s="8" t="n">
        <v>2000</v>
      </c>
      <c r="H111" s="10" t="n">
        <v/>
      </c>
      <c r="I111" s="8" t="n"/>
      <c r="J111" s="10" t="inlineStr">
        <is>
          <t>Satin</t>
        </is>
      </c>
      <c r="K111" s="11" t="n">
        <v>29363.46</v>
      </c>
      <c r="L111" s="11" t="n"/>
      <c r="M111" s="9" t="n"/>
      <c r="N111" s="10" t="inlineStr">
        <is>
          <t>unmatched</t>
        </is>
      </c>
    </row>
    <row r="112">
      <c r="A112" s="10" t="inlineStr">
        <is>
          <t>1000-4999</t>
        </is>
      </c>
      <c r="B112" s="8" t="n">
        <v>223864</v>
      </c>
      <c r="C112" s="10" t="inlineStr">
        <is>
          <t>CS-260803-133009</t>
        </is>
      </c>
      <c r="D112" s="10" t="inlineStr">
        <is>
          <t>Skybox Packaging, LLC</t>
        </is>
      </c>
      <c r="E112" s="10" t="inlineStr">
        <is>
          <t>Targeted Pet Treats - Country Kitchen Promotional Shipper</t>
        </is>
      </c>
      <c r="F112" s="10" t="inlineStr">
        <is>
          <t>Tray (2-up)</t>
        </is>
      </c>
      <c r="G112" s="8" t="n">
        <v>2000</v>
      </c>
      <c r="H112" s="10" t="n">
        <v/>
      </c>
      <c r="I112" s="8" t="n"/>
      <c r="J112" s="10" t="inlineStr">
        <is>
          <t>Satin</t>
        </is>
      </c>
      <c r="K112" s="11" t="n">
        <v>6204.85</v>
      </c>
      <c r="L112" s="11" t="n"/>
      <c r="M112" s="9" t="n"/>
      <c r="N112" s="10" t="inlineStr">
        <is>
          <t>unmatched</t>
        </is>
      </c>
    </row>
    <row r="113">
      <c r="A113" s="10" t="inlineStr">
        <is>
          <t>1000-4999</t>
        </is>
      </c>
      <c r="B113" s="8" t="n">
        <v>222085</v>
      </c>
      <c r="C113" s="10" t="inlineStr">
        <is>
          <t>SA-260624-102657</t>
        </is>
      </c>
      <c r="D113" s="10" t="n">
        <v/>
      </c>
      <c r="E113" s="10" t="inlineStr">
        <is>
          <t>STRAT PRO BUTTERMELT PDQ - 2nd Grouping</t>
        </is>
      </c>
      <c r="F113" s="10" t="inlineStr">
        <is>
          <t>D/C Tray - litho counter unit tray (digital direct print)</t>
        </is>
      </c>
      <c r="G113" s="8" t="n">
        <v>2000</v>
      </c>
      <c r="H113" s="10" t="n">
        <v/>
      </c>
      <c r="I113" s="8" t="n"/>
      <c r="J113" s="10" t="inlineStr">
        <is>
          <t>Satin</t>
        </is>
      </c>
      <c r="K113" s="11" t="n">
        <v>6126.25</v>
      </c>
      <c r="L113" s="11" t="n"/>
      <c r="M113" s="9" t="n"/>
      <c r="N113" s="10" t="inlineStr">
        <is>
          <t>unmatched</t>
        </is>
      </c>
    </row>
    <row r="114">
      <c r="A114" s="10" t="inlineStr">
        <is>
          <t>1000-4999</t>
        </is>
      </c>
      <c r="B114" s="8" t="n">
        <v>222085</v>
      </c>
      <c r="C114" s="10" t="inlineStr">
        <is>
          <t>SA-260624-102657</t>
        </is>
      </c>
      <c r="D114" s="10" t="n">
        <v/>
      </c>
      <c r="E114" s="10" t="inlineStr">
        <is>
          <t>STRAT PRO BUTTERMELT PDQ - 2nd Grouping</t>
        </is>
      </c>
      <c r="F114" s="10" t="inlineStr">
        <is>
          <t>RSC shipper - 1 color direct print, glued</t>
        </is>
      </c>
      <c r="G114" s="8" t="n">
        <v>2000</v>
      </c>
      <c r="H114" s="10" t="n">
        <v/>
      </c>
      <c r="I114" s="8" t="n"/>
      <c r="J114" s="10" t="inlineStr">
        <is>
          <t>Satin</t>
        </is>
      </c>
      <c r="K114" s="11" t="n">
        <v>7759.42</v>
      </c>
      <c r="L114" s="11" t="n"/>
      <c r="M114" s="9" t="n"/>
      <c r="N114" s="10" t="inlineStr">
        <is>
          <t>unmatched</t>
        </is>
      </c>
    </row>
    <row r="115">
      <c r="A115" s="10" t="inlineStr">
        <is>
          <t>1000-4999</t>
        </is>
      </c>
      <c r="B115" s="8" t="n">
        <v>222085</v>
      </c>
      <c r="C115" s="10" t="inlineStr">
        <is>
          <t>SA-260624-102657</t>
        </is>
      </c>
      <c r="D115" s="10" t="n">
        <v/>
      </c>
      <c r="E115" s="10" t="inlineStr">
        <is>
          <t>STRAT PRO BUTTERMELT PDQ - 2nd Grouping</t>
        </is>
      </c>
      <c r="F115" s="10" t="inlineStr">
        <is>
          <t>Filler - plain, no print, scored</t>
        </is>
      </c>
      <c r="G115" s="8" t="n">
        <v>2000</v>
      </c>
      <c r="H115" s="10" t="n">
        <v/>
      </c>
      <c r="I115" s="8" t="n"/>
      <c r="J115" s="10" t="n"/>
      <c r="K115" s="11" t="n">
        <v>1369.84</v>
      </c>
      <c r="L115" s="11" t="n"/>
      <c r="M115" s="9" t="n"/>
      <c r="N115" s="10" t="inlineStr">
        <is>
          <t>unmatched</t>
        </is>
      </c>
    </row>
    <row r="116">
      <c r="A116" s="10" t="inlineStr">
        <is>
          <t>1000-4999</t>
        </is>
      </c>
      <c r="B116" s="8" t="n">
        <v>222220</v>
      </c>
      <c r="C116" s="10" t="inlineStr">
        <is>
          <t>RW-260807-152915</t>
        </is>
      </c>
      <c r="D116" s="10" t="n">
        <v/>
      </c>
      <c r="E116" s="10" t="inlineStr">
        <is>
          <t xml:space="preserve">Savant GE </t>
        </is>
      </c>
      <c r="F116" s="10" t="inlineStr">
        <is>
          <t>DL-61140</t>
        </is>
      </c>
      <c r="G116" s="8" t="n">
        <v>1500</v>
      </c>
      <c r="H116" s="10" t="n">
        <v/>
      </c>
      <c r="I116" s="8" t="n"/>
      <c r="J116" s="10" t="inlineStr">
        <is>
          <t>Satin</t>
        </is>
      </c>
      <c r="K116" s="11" t="n">
        <v>1837.44</v>
      </c>
      <c r="L116" s="11" t="n"/>
      <c r="M116" s="9" t="n"/>
      <c r="N116" s="10" t="inlineStr">
        <is>
          <t>no-iq-rows</t>
        </is>
      </c>
    </row>
    <row r="117">
      <c r="A117" s="10" t="inlineStr">
        <is>
          <t>1000-4999</t>
        </is>
      </c>
      <c r="B117" s="8" t="n">
        <v>223596</v>
      </c>
      <c r="C117" s="10" t="inlineStr">
        <is>
          <t>BM-260817-100141</t>
        </is>
      </c>
      <c r="D117" s="10" t="n">
        <v/>
      </c>
      <c r="E117" s="10" t="inlineStr">
        <is>
          <t>Scotts Co. Pallet Bands - Vigiro Fertilizer - DS5994 CAD# 3790192901-1</t>
        </is>
      </c>
      <c r="F117" s="10" t="inlineStr">
        <is>
          <t>Pallet Band</t>
        </is>
      </c>
      <c r="G117" s="8" t="n">
        <v>1500</v>
      </c>
      <c r="H117" s="10" t="n">
        <v/>
      </c>
      <c r="I117" s="8" t="n"/>
      <c r="J117" s="10" t="inlineStr">
        <is>
          <t>Satin</t>
        </is>
      </c>
      <c r="K117" s="11" t="n">
        <v>6422.56</v>
      </c>
      <c r="L117" s="11" t="n"/>
      <c r="M117" s="9" t="n"/>
      <c r="N117" s="10" t="inlineStr">
        <is>
          <t>unmatched</t>
        </is>
      </c>
    </row>
    <row r="118">
      <c r="A118" s="10" t="inlineStr">
        <is>
          <t>5000+</t>
        </is>
      </c>
      <c r="B118" s="8" t="n">
        <v>223880</v>
      </c>
      <c r="C118" s="10" t="inlineStr">
        <is>
          <t>RW-260803-100141</t>
        </is>
      </c>
      <c r="D118" s="10" t="n">
        <v/>
      </c>
      <c r="E118" s="10" t="inlineStr">
        <is>
          <t>Can Void Fill</t>
        </is>
      </c>
      <c r="F118" s="10" t="inlineStr">
        <is>
          <t>Sheet Scored</t>
        </is>
      </c>
      <c r="G118" s="8" t="n">
        <v>22000</v>
      </c>
      <c r="H118" s="10" t="n">
        <v/>
      </c>
      <c r="I118" s="8" t="n"/>
      <c r="J118" s="10" t="n"/>
      <c r="K118" s="11" t="n">
        <v>3416.08</v>
      </c>
      <c r="L118" s="11" t="n"/>
      <c r="M118" s="9" t="n"/>
      <c r="N118" s="10" t="inlineStr">
        <is>
          <t>no-iq-rows</t>
        </is>
      </c>
    </row>
  </sheetData>
  <autoFilter ref="A4:N118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2026-09-03T18:42:04Z</dcterms:created>
  <dcterms:modified xmlns:dcterms="http://purl.org/dc/terms/" xmlns:xsi="http://www.w3.org/2001/XMLSchema-instance" xsi:type="dcterms:W3CDTF">2026-09-03T18:42:04Z</dcterms:modified>
</cp:coreProperties>
</file>