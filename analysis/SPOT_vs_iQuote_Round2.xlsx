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ec Summary" sheetId="2" state="visible" r:id="rId2"/>
    <sheet xmlns:r="http://schemas.openxmlformats.org/officeDocument/2006/relationships" name="Raw Quote Totals" sheetId="3" state="visible" r:id="rId3"/>
    <sheet xmlns:r="http://schemas.openxmlformats.org/officeDocument/2006/relationships" name="By Qty Range" sheetId="4" state="visible" r:id="rId4"/>
    <sheet xmlns:r="http://schemas.openxmlformats.org/officeDocument/2006/relationships" name="Qty x Customer" sheetId="5" state="visible" r:id="rId5"/>
    <sheet xmlns:r="http://schemas.openxmlformats.org/officeDocument/2006/relationships" name="Print vs No-Print" sheetId="6" state="visible" r:id="rId6"/>
    <sheet xmlns:r="http://schemas.openxmlformats.org/officeDocument/2006/relationships" name="Distribution" sheetId="7" state="visible" r:id="rId7"/>
    <sheet xmlns:r="http://schemas.openxmlformats.org/officeDocument/2006/relationships" name="CD Freight Cut" sheetId="8" state="visible" r:id="rId8"/>
  </sheets>
  <definedNames>
    <definedName name="_xlnm._FilterDatabase" localSheetId="2" hidden="1">'Raw Quote Totals'!$A$1:$X$173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;-0.00&quot;%&quot;;0.00&quot;%&quot;"/>
    <numFmt numFmtId="165" formatCode="$#,##0.00;[Red]-$#,##0.00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1"/>
    </font>
    <font>
      <b val="1"/>
    </font>
    <font>
      <b val="1"/>
      <color rgb="00FFFFFF"/>
      <sz val="11"/>
    </font>
    <font>
      <b val="1"/>
      <color rgb="001F4E78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SPOT lands vs iQuote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'Dashboard'!$O$2:$O$3</f>
            </numRef>
          </cat>
          <val>
            <numRef>
              <f>'Dashboard'!$P$2:$P$3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CD Freight Bug — Impact on Top-Line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'Dashboard'!P5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'Dashboard'!$O$6:$O$8</f>
            </numRef>
          </cat>
          <val>
            <numRef>
              <f>'Dashboard'!$P$6:$P$8</f>
            </numRef>
          </val>
        </ser>
        <ser>
          <idx val="1"/>
          <order val="1"/>
          <tx>
            <strRef>
              <f>'Dashboard'!Q5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'Dashboard'!$O$6:$O$8</f>
            </numRef>
          </cat>
          <val>
            <numRef>
              <f>'Dashboard'!$Q$6:$Q$8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Variance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'Dashboard'!$O$11:$O$30</f>
            </numRef>
          </cat>
          <val>
            <numRef>
              <f>'Dashboard'!$P$11:$P$30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Quote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Gap Sits — by Order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'Dashboard'!P32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'Dashboard'!$O$33:$O$37</f>
            </numRef>
          </cat>
          <val>
            <numRef>
              <f>'Dashboard'!$P$33:$P$37</f>
            </numRef>
          </val>
        </ser>
        <ser>
          <idx val="1"/>
          <order val="1"/>
          <tx>
            <strRef>
              <f>'Dashboard'!Q32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'Dashboard'!$O$33:$O$37</f>
            </numRef>
          </cat>
          <val>
            <numRef>
              <f>'Dashboard'!$Q$33:$Q$37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vs No-Print (component-level)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'Dashboard'!P39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'Dashboard'!$O$40:$O$41</f>
            </numRef>
          </cat>
          <val>
            <numRef>
              <f>'Dashboard'!$P$40:$P$41</f>
            </numRef>
          </val>
        </ser>
        <ser>
          <idx val="1"/>
          <order val="1"/>
          <tx>
            <strRef>
              <f>'Dashboard'!Q39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'Dashboard'!$O$40:$O$41</f>
            </numRef>
          </cat>
          <val>
            <numRef>
              <f>'Dashboard'!$Q$40:$Q$41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vs Median Variance % by Qty Band (All Quotes)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Qty Range'!C3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'By Qty Range'!$A$4:$A$8</f>
            </numRef>
          </cat>
          <val>
            <numRef>
              <f>'By Qty Range'!$C$4:$C$8</f>
            </numRef>
          </val>
        </ser>
        <ser>
          <idx val="1"/>
          <order val="1"/>
          <tx>
            <strRef>
              <f>'By Qty Range'!D3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'By Qty Range'!$A$4:$A$8</f>
            </numRef>
          </cat>
          <val>
            <numRef>
              <f>'By Qty Range'!$D$4:$D$8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vs Median Variance % by Qty Band (Excluding CD)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Qty Range'!C12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Qty Range'!$A$13:$A$17</f>
            </numRef>
          </cat>
          <val>
            <numRef>
              <f>'By Qty Range'!$C$13:$C$17</f>
            </numRef>
          </val>
        </ser>
        <ser>
          <idx val="1"/>
          <order val="1"/>
          <tx>
            <strRef>
              <f>'By Qty Range'!D12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Qty Range'!$A$13:$A$17</f>
            </numRef>
          </cat>
          <val>
            <numRef>
              <f>'By Qty Range'!$D$13:$D$17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Variance % — Top 15 Customers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'Qty x Customer'!$A$24:$A$38</f>
            </numRef>
          </cat>
          <val>
            <numRef>
              <f>'Qty x Customer'!$B$24:$B$38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vs No-Print — Component-Level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'Print vs No-Print'!C4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'Print vs No-Print'!$A$5:$A$6</f>
            </numRef>
          </cat>
          <val>
            <numRef>
              <f>'Print vs No-Print'!$C$5:$C$6</f>
            </numRef>
          </val>
        </ser>
        <ser>
          <idx val="1"/>
          <order val="1"/>
          <tx>
            <strRef>
              <f>'Print vs No-Print'!D4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'Print vs No-Print'!$A$5:$A$6</f>
            </numRef>
          </cat>
          <val>
            <numRef>
              <f>'Print vs No-Print'!$D$5:$D$6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Print Mode — Component-Level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'Print vs No-Print'!C9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'Print vs No-Print'!$A$10:$A$12</f>
            </numRef>
          </cat>
          <val>
            <numRef>
              <f>'Print vs No-Print'!$C$10:$C$12</f>
            </numRef>
          </val>
        </ser>
        <ser>
          <idx val="1"/>
          <order val="1"/>
          <tx>
            <strRef>
              <f>'Print vs No-Print'!D9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'Print vs No-Print'!$A$10:$A$12</f>
            </numRef>
          </cat>
          <val>
            <numRef>
              <f>'Print vs No-Print'!$D$10:$D$12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% Distribution — sorted low→high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'Distribution'!$A$5:$A$176</f>
            </numRef>
          </xVal>
          <yVal>
            <numRef>
              <f>'Distribution'!$E$5:$E$176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% Histogram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'Distribution'!$A$181:$A$200</f>
            </numRef>
          </cat>
          <val>
            <numRef>
              <f>'Distribution'!$B$181:$B$200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Quote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CD-Freight Bug Impact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'CD Freight Cut'!B35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'CD Freight Cut'!$A$36:$A$38</f>
            </numRef>
          </cat>
          <val>
            <numRef>
              <f>'CD Freight Cut'!$B$36:$B$38</f>
            </numRef>
          </val>
        </ser>
        <ser>
          <idx val="1"/>
          <order val="1"/>
          <tx>
            <strRef>
              <f>'CD Freight Cut'!C35</f>
            </strRef>
          </tx>
          <spPr>
            <a:ln xmlns:a="http://schemas.openxmlformats.org/drawingml/2006/main">
              <a:prstDash val="solid"/>
            </a:ln>
          </spPr>
          <cat>
            <numRef>
              <f>'CD Freight Cut'!$A$36:$A$38</f>
            </numRef>
          </cat>
          <val>
            <numRef>
              <f>'CD Freight Cut'!$C$36:$C$38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43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43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23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178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34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SPOT vs iQuote — Big Picture (Quote-Total Level)</t>
        </is>
      </c>
      <c r="O1" t="inlineStr">
        <is>
          <t>Direction</t>
        </is>
      </c>
      <c r="P1" t="inlineStr">
        <is>
          <t>Count</t>
        </is>
      </c>
    </row>
    <row r="2">
      <c r="A2" s="2" t="inlineStr">
        <is>
          <t>n = 172 quote totals across 110 estimates. Multi-part kits count once per option per qty tier.</t>
        </is>
      </c>
      <c r="O2" t="inlineStr">
        <is>
          <t>SPOT &gt; iQuote</t>
        </is>
      </c>
      <c r="P2" t="n">
        <v>135</v>
      </c>
    </row>
    <row r="3">
      <c r="O3" t="inlineStr">
        <is>
          <t>SPOT &lt; iQuote</t>
        </is>
      </c>
      <c r="P3" t="n">
        <v>37</v>
      </c>
    </row>
    <row r="4">
      <c r="A4" s="3" t="inlineStr">
        <is>
          <t>Quote Rows</t>
        </is>
      </c>
      <c r="C4" s="3" t="inlineStr">
        <is>
          <t>Unique Estimates</t>
        </is>
      </c>
      <c r="E4" s="3" t="inlineStr">
        <is>
          <t>Mean Variance</t>
        </is>
      </c>
      <c r="G4" s="3" t="inlineStr">
        <is>
          <t>Median Variance</t>
        </is>
      </c>
      <c r="I4" s="3" t="inlineStr">
        <is>
          <t>SPOT &gt; iQuote</t>
        </is>
      </c>
      <c r="K4" s="3" t="inlineStr">
        <is>
          <t>SPOT &lt; iQuote</t>
        </is>
      </c>
    </row>
    <row r="5" ht="30" customHeight="1">
      <c r="A5" s="4" t="n">
        <v>172</v>
      </c>
      <c r="C5" s="4" t="n">
        <v>110</v>
      </c>
      <c r="E5" s="5" t="n">
        <v>22.63285956931678</v>
      </c>
      <c r="G5" s="5" t="n">
        <v>17.54961459831797</v>
      </c>
      <c r="I5" s="4" t="n">
        <v>135</v>
      </c>
      <c r="K5" s="4" t="n">
        <v>37</v>
      </c>
      <c r="O5" t="inlineStr">
        <is>
          <t>Metric</t>
        </is>
      </c>
      <c r="P5" t="inlineStr">
        <is>
          <t>All</t>
        </is>
      </c>
      <c r="Q5" t="inlineStr">
        <is>
          <t>Ex-CD</t>
        </is>
      </c>
    </row>
    <row r="6">
      <c r="O6" t="inlineStr">
        <is>
          <t>Mean</t>
        </is>
      </c>
      <c r="P6" s="6" t="n">
        <v>22.63285956931678</v>
      </c>
      <c r="Q6" s="6" t="n">
        <v>24.17834916307141</v>
      </c>
    </row>
    <row r="7">
      <c r="O7" t="inlineStr">
        <is>
          <t>Median</t>
        </is>
      </c>
      <c r="P7" s="6" t="n">
        <v>17.54961459831797</v>
      </c>
      <c r="Q7" s="6" t="n">
        <v>18.55080876525157</v>
      </c>
    </row>
    <row r="8">
      <c r="O8" t="inlineStr">
        <is>
          <t>Std Dev</t>
        </is>
      </c>
      <c r="P8" s="6" t="n">
        <v>46.587356131939</v>
      </c>
      <c r="Q8" s="6" t="n">
        <v>47.33803141050415</v>
      </c>
    </row>
    <row r="10">
      <c r="O10" t="inlineStr">
        <is>
          <t>Bucket</t>
        </is>
      </c>
      <c r="P10" t="inlineStr">
        <is>
          <t>Count</t>
        </is>
      </c>
    </row>
    <row r="11">
      <c r="O11" t="inlineStr">
        <is>
          <t>-100%..-75%</t>
        </is>
      </c>
      <c r="P11" s="7" t="n">
        <v>0</v>
      </c>
    </row>
    <row r="12">
      <c r="O12" t="inlineStr">
        <is>
          <t>-75%..-50%</t>
        </is>
      </c>
      <c r="P12" s="7" t="n">
        <v>2</v>
      </c>
    </row>
    <row r="13">
      <c r="O13" t="inlineStr">
        <is>
          <t>-50%..-25%</t>
        </is>
      </c>
      <c r="P13" s="7" t="n">
        <v>9</v>
      </c>
    </row>
    <row r="14">
      <c r="O14" t="inlineStr">
        <is>
          <t>-25%..0%</t>
        </is>
      </c>
      <c r="P14" s="7" t="n">
        <v>26</v>
      </c>
    </row>
    <row r="15">
      <c r="O15" t="inlineStr">
        <is>
          <t>0%..25%</t>
        </is>
      </c>
      <c r="P15" s="7" t="n">
        <v>65</v>
      </c>
    </row>
    <row r="16">
      <c r="O16" t="inlineStr">
        <is>
          <t>25%..50%</t>
        </is>
      </c>
      <c r="P16" s="7" t="n">
        <v>48</v>
      </c>
    </row>
    <row r="17">
      <c r="O17" t="inlineStr">
        <is>
          <t>50%..75%</t>
        </is>
      </c>
      <c r="P17" s="7" t="n">
        <v>13</v>
      </c>
    </row>
    <row r="18">
      <c r="O18" t="inlineStr">
        <is>
          <t>75%..100%</t>
        </is>
      </c>
      <c r="P18" s="7" t="n">
        <v>6</v>
      </c>
    </row>
    <row r="19">
      <c r="O19" t="inlineStr">
        <is>
          <t>100%..125%</t>
        </is>
      </c>
      <c r="P19" s="7" t="n">
        <v>0</v>
      </c>
    </row>
    <row r="20">
      <c r="O20" t="inlineStr">
        <is>
          <t>125%..150%</t>
        </is>
      </c>
      <c r="P20" s="7" t="n">
        <v>0</v>
      </c>
    </row>
    <row r="21">
      <c r="O21" t="inlineStr">
        <is>
          <t>150%..175%</t>
        </is>
      </c>
      <c r="P21" s="7" t="n">
        <v>0</v>
      </c>
    </row>
    <row r="22">
      <c r="O22" t="inlineStr">
        <is>
          <t>175%..200%</t>
        </is>
      </c>
      <c r="P22" s="7" t="n">
        <v>1</v>
      </c>
    </row>
    <row r="23">
      <c r="O23" t="inlineStr">
        <is>
          <t>200%..225%</t>
        </is>
      </c>
      <c r="P23" s="7" t="n">
        <v>1</v>
      </c>
    </row>
    <row r="24">
      <c r="O24" t="inlineStr">
        <is>
          <t>225%..250%</t>
        </is>
      </c>
      <c r="P24" s="7" t="n">
        <v>0</v>
      </c>
    </row>
    <row r="25">
      <c r="O25" t="inlineStr">
        <is>
          <t>250%..275%</t>
        </is>
      </c>
      <c r="P25" s="7" t="n">
        <v>0</v>
      </c>
    </row>
    <row r="26">
      <c r="O26" t="inlineStr">
        <is>
          <t>275%..300%</t>
        </is>
      </c>
      <c r="P26" s="7" t="n">
        <v>0</v>
      </c>
    </row>
    <row r="27">
      <c r="O27" t="inlineStr">
        <is>
          <t>300%..325%</t>
        </is>
      </c>
      <c r="P27" s="7" t="n">
        <v>0</v>
      </c>
    </row>
    <row r="28">
      <c r="O28" t="inlineStr">
        <is>
          <t>325%..350%</t>
        </is>
      </c>
      <c r="P28" s="7" t="n">
        <v>0</v>
      </c>
    </row>
    <row r="29">
      <c r="O29" t="inlineStr">
        <is>
          <t>350%..375%</t>
        </is>
      </c>
      <c r="P29" s="7" t="n">
        <v>0</v>
      </c>
    </row>
    <row r="30">
      <c r="O30" t="inlineStr">
        <is>
          <t>375%..400%</t>
        </is>
      </c>
      <c r="P30" s="7" t="n">
        <v>0</v>
      </c>
    </row>
    <row r="32">
      <c r="O32" t="inlineStr">
        <is>
          <t>Qty Band</t>
        </is>
      </c>
      <c r="P32" t="inlineStr">
        <is>
          <t>Median</t>
        </is>
      </c>
      <c r="Q32" t="inlineStr">
        <is>
          <t>Avg</t>
        </is>
      </c>
    </row>
    <row r="33">
      <c r="O33" t="inlineStr">
        <is>
          <t>1-49</t>
        </is>
      </c>
      <c r="P33" s="6" t="n">
        <v>32.72258749517896</v>
      </c>
      <c r="Q33" s="6" t="n">
        <v>45.33899531441994</v>
      </c>
    </row>
    <row r="34">
      <c r="O34" t="inlineStr">
        <is>
          <t>50-199</t>
        </is>
      </c>
      <c r="P34" s="6" t="n">
        <v>12.52235919460724</v>
      </c>
      <c r="Q34" s="6" t="n">
        <v>29.84843593202334</v>
      </c>
    </row>
    <row r="35">
      <c r="O35" t="inlineStr">
        <is>
          <t>200-999</t>
        </is>
      </c>
      <c r="P35" s="6" t="n">
        <v>21.02030599411455</v>
      </c>
      <c r="Q35" s="6" t="n">
        <v>20.84296166662599</v>
      </c>
    </row>
    <row r="36">
      <c r="O36" t="inlineStr">
        <is>
          <t>1000-4999</t>
        </is>
      </c>
      <c r="P36" s="6" t="n">
        <v>7.578926455102616</v>
      </c>
      <c r="Q36" s="6" t="n">
        <v>2.304057775121896</v>
      </c>
    </row>
    <row r="37">
      <c r="O37" t="inlineStr">
        <is>
          <t>5000+</t>
        </is>
      </c>
      <c r="P37" s="6" t="n">
        <v>-26.05130320332367</v>
      </c>
      <c r="Q37" s="6" t="n">
        <v>10.22034098858269</v>
      </c>
    </row>
    <row r="39">
      <c r="O39" t="inlineStr">
        <is>
          <t>Group</t>
        </is>
      </c>
      <c r="P39" t="inlineStr">
        <is>
          <t>Median</t>
        </is>
      </c>
      <c r="Q39" t="inlineStr">
        <is>
          <t>Avg</t>
        </is>
      </c>
    </row>
    <row r="40">
      <c r="O40" t="inlineStr">
        <is>
          <t>No Print</t>
        </is>
      </c>
      <c r="P40" s="6" t="n">
        <v>5.989819758522132</v>
      </c>
      <c r="Q40" s="6" t="n">
        <v>30.94222283155213</v>
      </c>
    </row>
    <row r="41">
      <c r="O41" t="inlineStr">
        <is>
          <t>Print</t>
        </is>
      </c>
      <c r="P41" s="6" t="n">
        <v>20.61068702290077</v>
      </c>
      <c r="Q41" s="6" t="n">
        <v>43.9184102207144</v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SPOT vs iQuote — Round 2 (Quote-Total Level)</t>
        </is>
      </c>
    </row>
    <row r="2">
      <c r="A2" s="2" t="inlineStr">
        <is>
          <t>Unit of analysis: one row per (SPOT Estimate # + iQuote Option + Quote Total). Multi-part kits contribute ONE row per option per qty-tier.</t>
        </is>
      </c>
    </row>
    <row r="3">
      <c r="A3" s="2" t="inlineStr">
        <is>
          <t>Generated 2026-09-01 12:26  |  Quote-total rows: 172  |  Unique estimates: 110</t>
        </is>
      </c>
    </row>
    <row r="5">
      <c r="A5" s="8" t="inlineStr">
        <is>
          <t>All Quote Totals</t>
        </is>
      </c>
    </row>
    <row r="6">
      <c r="A6" s="9" t="inlineStr">
        <is>
          <t>Quote Count</t>
        </is>
      </c>
      <c r="B6" s="10" t="n">
        <v>172</v>
      </c>
    </row>
    <row r="7">
      <c r="A7" s="9" t="inlineStr">
        <is>
          <t>Avg Variance %</t>
        </is>
      </c>
      <c r="B7" s="11" t="n">
        <v>22.63285956931678</v>
      </c>
    </row>
    <row r="8">
      <c r="A8" s="9" t="inlineStr">
        <is>
          <t>Median Variance %</t>
        </is>
      </c>
      <c r="B8" s="11" t="n">
        <v>17.54961459831797</v>
      </c>
    </row>
    <row r="9">
      <c r="A9" s="9" t="inlineStr">
        <is>
          <t>Std Dev</t>
        </is>
      </c>
      <c r="B9" s="11" t="n">
        <v>46.587356131939</v>
      </c>
    </row>
    <row r="10">
      <c r="A10" s="9" t="inlineStr">
        <is>
          <t>P25</t>
        </is>
      </c>
      <c r="B10" s="11" t="n">
        <v>3.818429201892253</v>
      </c>
    </row>
    <row r="11">
      <c r="A11" s="9" t="inlineStr">
        <is>
          <t>P75</t>
        </is>
      </c>
      <c r="B11" s="11" t="n">
        <v>32.48984009125071</v>
      </c>
    </row>
    <row r="12">
      <c r="A12" s="9" t="inlineStr">
        <is>
          <t>SPOT &gt; iQuote (count)</t>
        </is>
      </c>
      <c r="B12" s="10" t="n">
        <v>135</v>
      </c>
    </row>
    <row r="13">
      <c r="A13" s="9" t="inlineStr">
        <is>
          <t>SPOT &lt; iQuote (count)</t>
        </is>
      </c>
      <c r="B13" s="10" t="n">
        <v>37</v>
      </c>
    </row>
    <row r="15">
      <c r="A15" s="8" t="inlineStr">
        <is>
          <t>Excluding CD-Freight Bug Estimates</t>
        </is>
      </c>
    </row>
    <row r="16">
      <c r="A16" s="9" t="inlineStr">
        <is>
          <t>Quote Count</t>
        </is>
      </c>
      <c r="B16" s="10" t="n">
        <v>159</v>
      </c>
    </row>
    <row r="17">
      <c r="A17" s="9" t="inlineStr">
        <is>
          <t>Avg Variance %</t>
        </is>
      </c>
      <c r="B17" s="11" t="n">
        <v>24.17834916307141</v>
      </c>
    </row>
    <row r="18">
      <c r="A18" s="9" t="inlineStr">
        <is>
          <t>Median Variance %</t>
        </is>
      </c>
      <c r="B18" s="11" t="n">
        <v>18.55080876525157</v>
      </c>
    </row>
    <row r="19">
      <c r="A19" s="9" t="inlineStr">
        <is>
          <t>Std Dev</t>
        </is>
      </c>
      <c r="B19" s="11" t="n">
        <v>47.33803141050415</v>
      </c>
    </row>
    <row r="20">
      <c r="A20" s="9" t="inlineStr">
        <is>
          <t>P25</t>
        </is>
      </c>
      <c r="B20" s="11" t="n">
        <v>5.016617770167185</v>
      </c>
    </row>
    <row r="21">
      <c r="A21" s="9" t="inlineStr">
        <is>
          <t>P75</t>
        </is>
      </c>
      <c r="B21" s="11" t="n">
        <v>32.72258749517896</v>
      </c>
    </row>
    <row r="22">
      <c r="A22" s="9" t="inlineStr">
        <is>
          <t>SPOT &gt; iQuote (count)</t>
        </is>
      </c>
      <c r="B22" s="10" t="n">
        <v>128</v>
      </c>
    </row>
    <row r="23">
      <c r="A23" s="9" t="inlineStr">
        <is>
          <t>SPOT &lt; iQuote (count)</t>
        </is>
      </c>
      <c r="B23" s="10" t="n">
        <v>31</v>
      </c>
    </row>
    <row r="26">
      <c r="A26" s="8" t="inlineStr">
        <is>
          <t>Notable Callouts</t>
        </is>
      </c>
    </row>
    <row r="27" ht="30" customHeight="1">
      <c r="A27" s="12" t="inlineStr">
        <is>
          <t>•  CD-freight bug: 7 estimates (13 quote-total rows) with confirmed freight double-count. See "CD Freight Cut" sheet.</t>
        </is>
      </c>
    </row>
    <row r="28" ht="30" customHeight="1">
      <c r="A28" s="12" t="inlineStr">
        <is>
          <t>•  135 quotes price higher in SPOT vs 37 lower — SPOT skews higher, but median tells a different story.</t>
        </is>
      </c>
    </row>
    <row r="29" ht="30" customHeight="1">
      <c r="A29" s="12" t="inlineStr">
        <is>
          <t>•  Print vs No-Print is analyzed at the COMPONENT level (only way to split mixed-print multi-part quotes).</t>
        </is>
      </c>
    </row>
  </sheetData>
  <mergeCells count="6">
    <mergeCell ref="A3:H3"/>
    <mergeCell ref="A29:H29"/>
    <mergeCell ref="A2:H2"/>
    <mergeCell ref="A28:H28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42" customWidth="1" min="4" max="4"/>
    <col width="15" customWidth="1" min="5" max="5"/>
    <col width="42" customWidth="1" min="6" max="6"/>
    <col width="14" customWidth="1" min="7" max="7"/>
    <col width="12" customWidth="1" min="8" max="8"/>
    <col width="21" customWidth="1" min="9" max="9"/>
    <col width="14" customWidth="1" min="10" max="10"/>
    <col width="24" customWidth="1" min="11" max="11"/>
    <col width="20" customWidth="1" min="12" max="12"/>
    <col width="14" customWidth="1" min="13" max="13"/>
    <col width="17" customWidth="1" min="14" max="14"/>
    <col width="24" customWidth="1" min="15" max="15"/>
    <col width="13" customWidth="1" min="16" max="16"/>
    <col width="11" customWidth="1" min="17" max="17"/>
    <col width="19" customWidth="1" min="18" max="18"/>
    <col width="29" customWidth="1" min="19" max="19"/>
    <col width="22" customWidth="1" min="20" max="20"/>
    <col width="22" customWidth="1" min="21" max="21"/>
    <col width="24" customWidth="1" min="22" max="22"/>
    <col width="18" customWidth="1" min="23" max="23"/>
    <col width="42" customWidth="1" min="24" max="24"/>
  </cols>
  <sheetData>
    <row r="1">
      <c r="A1" s="13" t="inlineStr">
        <is>
          <t>iQuote Estimate #</t>
        </is>
      </c>
      <c r="B1" s="13" t="inlineStr">
        <is>
          <t>SPOT Estimate #</t>
        </is>
      </c>
      <c r="C1" s="13" t="inlineStr">
        <is>
          <t>Became a Job</t>
        </is>
      </c>
      <c r="D1" s="13" t="inlineStr">
        <is>
          <t>Customer</t>
        </is>
      </c>
      <c r="E1" s="13" t="inlineStr">
        <is>
          <t>Project Name</t>
        </is>
      </c>
      <c r="F1" s="13" t="inlineStr">
        <is>
          <t>iQuote Option</t>
        </is>
      </c>
      <c r="G1" s="13" t="inlineStr">
        <is>
          <t>Primary Qty</t>
        </is>
      </c>
      <c r="H1" s="13" t="inlineStr">
        <is>
          <t>Qty Band</t>
        </is>
      </c>
      <c r="I1" s="13" t="inlineStr">
        <is>
          <t>Qty Range in Group</t>
        </is>
      </c>
      <c r="J1" s="13" t="inlineStr">
        <is>
          <t># SPOT Rows</t>
        </is>
      </c>
      <c r="K1" s="13" t="inlineStr">
        <is>
          <t># iQuote Rows Matched</t>
        </is>
      </c>
      <c r="L1" s="13" t="inlineStr">
        <is>
          <t>Match Method</t>
        </is>
      </c>
      <c r="M1" s="13" t="inlineStr">
        <is>
          <t>Print Modes</t>
        </is>
      </c>
      <c r="N1" s="13" t="inlineStr">
        <is>
          <t>Print/No-Print</t>
        </is>
      </c>
      <c r="O1" s="13" t="inlineStr">
        <is>
          <t>Route(s)</t>
        </is>
      </c>
      <c r="P1" s="13" t="inlineStr">
        <is>
          <t>Board</t>
        </is>
      </c>
      <c r="Q1" s="13" t="inlineStr">
        <is>
          <t>IsBuyMin</t>
        </is>
      </c>
      <c r="R1" s="13" t="inlineStr">
        <is>
          <t>SPOT Quote Total</t>
        </is>
      </c>
      <c r="S1" s="13" t="inlineStr">
        <is>
          <t>iQuote Total (sum matched)</t>
        </is>
      </c>
      <c r="T1" s="13" t="inlineStr">
        <is>
          <t>Variance $</t>
        </is>
      </c>
      <c r="U1" s="13" t="inlineStr">
        <is>
          <t>Variance %</t>
        </is>
      </c>
      <c r="V1" s="13" t="inlineStr">
        <is>
          <t>Z-Score</t>
        </is>
      </c>
      <c r="W1" s="13" t="inlineStr">
        <is>
          <t>CD Freight Flag</t>
        </is>
      </c>
      <c r="X1" s="13" t="inlineStr">
        <is>
          <t>Notes</t>
        </is>
      </c>
    </row>
    <row r="2">
      <c r="A2" s="14" t="n">
        <v>221299</v>
      </c>
      <c r="B2" s="15" t="inlineStr">
        <is>
          <t>RW-260720-093753</t>
        </is>
      </c>
      <c r="C2" s="15" t="inlineStr">
        <is>
          <t>No</t>
        </is>
      </c>
      <c r="D2" s="15" t="inlineStr">
        <is>
          <t>GO2 Partners, Inc.</t>
        </is>
      </c>
      <c r="E2" s="15" t="inlineStr">
        <is>
          <t>3M Wall Repair Kit</t>
        </is>
      </c>
      <c r="F2" s="15" t="inlineStr"/>
      <c r="G2" s="14" t="n">
        <v>300</v>
      </c>
      <c r="H2" s="15" t="inlineStr">
        <is>
          <t>200-999</t>
        </is>
      </c>
      <c r="I2" s="15" t="inlineStr">
        <is>
          <t>30-300</t>
        </is>
      </c>
      <c r="J2" s="14" t="n">
        <v>2</v>
      </c>
      <c r="K2" s="14" t="n">
        <v>2</v>
      </c>
      <c r="L2" s="15" t="inlineStr">
        <is>
          <t>qty-only</t>
        </is>
      </c>
      <c r="M2" s="15" t="inlineStr">
        <is>
          <t>Satin</t>
        </is>
      </c>
      <c r="N2" s="15" t="inlineStr">
        <is>
          <t>Print</t>
        </is>
      </c>
      <c r="O2" s="15" t="inlineStr">
        <is>
          <t>CAD</t>
        </is>
      </c>
      <c r="P2" s="15" t="inlineStr">
        <is>
          <t>200 E</t>
        </is>
      </c>
      <c r="Q2" s="15" t="inlineStr">
        <is>
          <t>No</t>
        </is>
      </c>
      <c r="R2" s="16" t="n">
        <v>3021</v>
      </c>
      <c r="S2" s="16" t="n">
        <v>2570.16</v>
      </c>
      <c r="T2" s="16" t="n">
        <v>450.8400000000001</v>
      </c>
      <c r="U2" s="17" t="n">
        <v>17.54132038472314</v>
      </c>
      <c r="V2" s="18" t="n">
        <v>-0.1092901509622913</v>
      </c>
      <c r="W2" s="15" t="inlineStr">
        <is>
          <t>No</t>
        </is>
      </c>
      <c r="X2" s="15" t="inlineStr"/>
    </row>
    <row r="3">
      <c r="A3" s="14" t="n">
        <v>222085</v>
      </c>
      <c r="B3" s="15" t="inlineStr">
        <is>
          <t>RW-260622-133707</t>
        </is>
      </c>
      <c r="C3" s="15" t="inlineStr">
        <is>
          <t>No</t>
        </is>
      </c>
      <c r="D3" s="15" t="inlineStr">
        <is>
          <t>Packaging Corporation of America</t>
        </is>
      </c>
      <c r="E3" s="15" t="inlineStr">
        <is>
          <t>Strat Pro Buttermelt PDQ - 2nd Grouping</t>
        </is>
      </c>
      <c r="F3" s="15" t="inlineStr">
        <is>
          <t>RSC/Filler/Tray</t>
        </is>
      </c>
      <c r="G3" s="14" t="n">
        <v>515</v>
      </c>
      <c r="H3" s="15" t="inlineStr">
        <is>
          <t>200-999</t>
        </is>
      </c>
      <c r="I3" s="15" t="inlineStr">
        <is>
          <t>515</t>
        </is>
      </c>
      <c r="J3" s="14" t="n">
        <v>3</v>
      </c>
      <c r="K3" s="14" t="n">
        <v>3</v>
      </c>
      <c r="L3" s="15" t="inlineStr">
        <is>
          <t>opt+qty</t>
        </is>
      </c>
      <c r="M3" s="15" t="inlineStr">
        <is>
          <t>Satin</t>
        </is>
      </c>
      <c r="N3" s="15" t="inlineStr">
        <is>
          <t>Print</t>
        </is>
      </c>
      <c r="O3" s="15" t="inlineStr">
        <is>
          <t>CAD/Crest</t>
        </is>
      </c>
      <c r="P3" s="15" t="inlineStr">
        <is>
          <t>200 E</t>
        </is>
      </c>
      <c r="Q3" s="15" t="inlineStr">
        <is>
          <t>No</t>
        </is>
      </c>
      <c r="R3" s="16" t="n">
        <v>7931.34</v>
      </c>
      <c r="S3" s="16" t="n">
        <v>8118.469999999999</v>
      </c>
      <c r="T3" s="16" t="n">
        <v>-187.1299999999992</v>
      </c>
      <c r="U3" s="17" t="n">
        <v>-2.30499096504636</v>
      </c>
      <c r="V3" s="18" t="n">
        <v>-0.5352922467576227</v>
      </c>
      <c r="W3" s="15" t="inlineStr">
        <is>
          <t>No</t>
        </is>
      </c>
      <c r="X3" s="15" t="inlineStr"/>
    </row>
    <row r="4">
      <c r="A4" s="14" t="n">
        <v>222151</v>
      </c>
      <c r="B4" s="15" t="inlineStr">
        <is>
          <t>RW-260804-165029</t>
        </is>
      </c>
      <c r="C4" s="15" t="inlineStr">
        <is>
          <t>Yes</t>
        </is>
      </c>
      <c r="D4" s="15" t="inlineStr">
        <is>
          <t>PCA Pennsylvania Acquisition Corporation</t>
        </is>
      </c>
      <c r="E4" s="15" t="inlineStr">
        <is>
          <t>Black Cat Header</t>
        </is>
      </c>
      <c r="F4" s="15" t="inlineStr"/>
      <c r="G4" s="14" t="n">
        <v>500</v>
      </c>
      <c r="H4" s="15" t="inlineStr">
        <is>
          <t>200-999</t>
        </is>
      </c>
      <c r="I4" s="15" t="inlineStr">
        <is>
          <t>500</t>
        </is>
      </c>
      <c r="J4" s="14" t="n">
        <v>1</v>
      </c>
      <c r="K4" s="14" t="n">
        <v>1</v>
      </c>
      <c r="L4" s="15" t="inlineStr">
        <is>
          <t>qty-only</t>
        </is>
      </c>
      <c r="M4" s="15" t="inlineStr">
        <is>
          <t>Gloss</t>
        </is>
      </c>
      <c r="N4" s="15" t="inlineStr">
        <is>
          <t>Print</t>
        </is>
      </c>
      <c r="O4" s="15" t="inlineStr">
        <is>
          <t>CAD</t>
        </is>
      </c>
      <c r="P4" s="15" t="inlineStr">
        <is>
          <t>250 B</t>
        </is>
      </c>
      <c r="Q4" s="15" t="inlineStr">
        <is>
          <t>No</t>
        </is>
      </c>
      <c r="R4" s="16" t="n">
        <v>1485.69</v>
      </c>
      <c r="S4" s="16" t="n">
        <v>1215.77</v>
      </c>
      <c r="T4" s="16" t="n">
        <v>269.9200000000001</v>
      </c>
      <c r="U4" s="17" t="n">
        <v>22.20156773073855</v>
      </c>
      <c r="V4" s="18" t="n">
        <v>-0.009257701539378561</v>
      </c>
      <c r="W4" s="15" t="inlineStr">
        <is>
          <t>No</t>
        </is>
      </c>
      <c r="X4" s="15" t="inlineStr"/>
    </row>
    <row r="5">
      <c r="A5" s="14" t="n">
        <v>222151</v>
      </c>
      <c r="B5" s="15" t="inlineStr">
        <is>
          <t>RW-260804-165029</t>
        </is>
      </c>
      <c r="C5" s="15" t="inlineStr">
        <is>
          <t>Yes</t>
        </is>
      </c>
      <c r="D5" s="15" t="inlineStr">
        <is>
          <t>PCA Pennsylvania Acquisition Corporation</t>
        </is>
      </c>
      <c r="E5" s="15" t="inlineStr">
        <is>
          <t>Black Cat Header</t>
        </is>
      </c>
      <c r="F5" s="15" t="inlineStr"/>
      <c r="G5" s="14" t="n">
        <v>2000</v>
      </c>
      <c r="H5" s="15" t="inlineStr">
        <is>
          <t>1000-4999</t>
        </is>
      </c>
      <c r="I5" s="15" t="inlineStr">
        <is>
          <t>2000</t>
        </is>
      </c>
      <c r="J5" s="14" t="n">
        <v>1</v>
      </c>
      <c r="K5" s="14" t="n">
        <v>1</v>
      </c>
      <c r="L5" s="15" t="inlineStr">
        <is>
          <t>qty-only</t>
        </is>
      </c>
      <c r="M5" s="15" t="inlineStr">
        <is>
          <t>Gloss</t>
        </is>
      </c>
      <c r="N5" s="15" t="inlineStr">
        <is>
          <t>Print</t>
        </is>
      </c>
      <c r="O5" s="15" t="inlineStr">
        <is>
          <t>CAD</t>
        </is>
      </c>
      <c r="P5" s="15" t="inlineStr">
        <is>
          <t>250 B</t>
        </is>
      </c>
      <c r="Q5" s="15" t="inlineStr">
        <is>
          <t>No</t>
        </is>
      </c>
      <c r="R5" s="16" t="n">
        <v>4215.34</v>
      </c>
      <c r="S5" s="16" t="n">
        <v>3496.62</v>
      </c>
      <c r="T5" s="16" t="n">
        <v>718.7200000000003</v>
      </c>
      <c r="U5" s="17" t="n">
        <v>20.55470711715886</v>
      </c>
      <c r="V5" s="18" t="n">
        <v>-0.04460764947193884</v>
      </c>
      <c r="W5" s="15" t="inlineStr">
        <is>
          <t>No</t>
        </is>
      </c>
      <c r="X5" s="15" t="inlineStr"/>
    </row>
    <row r="6">
      <c r="A6" s="14" t="n">
        <v>222180</v>
      </c>
      <c r="B6" s="15" t="inlineStr">
        <is>
          <t>RW-260804-170132</t>
        </is>
      </c>
      <c r="C6" s="15" t="inlineStr">
        <is>
          <t>Yes</t>
        </is>
      </c>
      <c r="D6" s="15" t="inlineStr">
        <is>
          <t>PCA Pennsylvania Acquisition Corporation</t>
        </is>
      </c>
      <c r="E6" s="15" t="inlineStr">
        <is>
          <t>Basic Resources - Reebok Kids Underwear</t>
        </is>
      </c>
      <c r="F6" s="15" t="inlineStr"/>
      <c r="G6" s="14" t="n">
        <v>530</v>
      </c>
      <c r="H6" s="15" t="inlineStr">
        <is>
          <t>200-999</t>
        </is>
      </c>
      <c r="I6" s="15" t="inlineStr">
        <is>
          <t>270-530</t>
        </is>
      </c>
      <c r="J6" s="14" t="n">
        <v>2</v>
      </c>
      <c r="K6" s="14" t="n">
        <v>2</v>
      </c>
      <c r="L6" s="15" t="inlineStr">
        <is>
          <t>qty-only</t>
        </is>
      </c>
      <c r="M6" s="15" t="inlineStr">
        <is>
          <t>Satin</t>
        </is>
      </c>
      <c r="N6" s="15" t="inlineStr">
        <is>
          <t>Print</t>
        </is>
      </c>
      <c r="O6" s="15" t="inlineStr">
        <is>
          <t>CAD/Crest</t>
        </is>
      </c>
      <c r="P6" s="15" t="inlineStr">
        <is>
          <t>ECT 32 B</t>
        </is>
      </c>
      <c r="Q6" s="15" t="inlineStr">
        <is>
          <t>No</t>
        </is>
      </c>
      <c r="R6" s="16" t="n">
        <v>8756.629999999999</v>
      </c>
      <c r="S6" s="16" t="n">
        <v>7448.780000000001</v>
      </c>
      <c r="T6" s="16" t="n">
        <v>1307.849999999999</v>
      </c>
      <c r="U6" s="17" t="n">
        <v>17.5579088119128</v>
      </c>
      <c r="V6" s="18" t="n">
        <v>-0.1089340795178701</v>
      </c>
      <c r="W6" s="15" t="inlineStr">
        <is>
          <t>No</t>
        </is>
      </c>
      <c r="X6" s="15" t="inlineStr"/>
    </row>
    <row r="7">
      <c r="A7" s="14" t="n">
        <v>222182</v>
      </c>
      <c r="B7" s="15" t="inlineStr">
        <is>
          <t>CS-260806-131339</t>
        </is>
      </c>
      <c r="C7" s="15" t="inlineStr">
        <is>
          <t>Yes</t>
        </is>
      </c>
      <c r="D7" s="15" t="inlineStr">
        <is>
          <t>Skybox Packaging, LLC</t>
        </is>
      </c>
      <c r="E7" s="15" t="inlineStr">
        <is>
          <t>Fragrance 101: Now in Session Header</t>
        </is>
      </c>
      <c r="F7" s="15" t="inlineStr"/>
      <c r="G7" s="14" t="n">
        <v>250</v>
      </c>
      <c r="H7" s="15" t="inlineStr">
        <is>
          <t>200-999</t>
        </is>
      </c>
      <c r="I7" s="15" t="inlineStr">
        <is>
          <t>250</t>
        </is>
      </c>
      <c r="J7" s="14" t="n">
        <v>1</v>
      </c>
      <c r="K7" s="14" t="n">
        <v>1</v>
      </c>
      <c r="L7" s="15" t="inlineStr">
        <is>
          <t>qty-only</t>
        </is>
      </c>
      <c r="M7" s="15" t="inlineStr">
        <is>
          <t>Satin</t>
        </is>
      </c>
      <c r="N7" s="15" t="inlineStr">
        <is>
          <t>Print</t>
        </is>
      </c>
      <c r="O7" s="15" t="inlineStr">
        <is>
          <t>CAD</t>
        </is>
      </c>
      <c r="P7" s="15" t="inlineStr">
        <is>
          <t>ECT 32 B</t>
        </is>
      </c>
      <c r="Q7" s="15" t="inlineStr">
        <is>
          <t>No</t>
        </is>
      </c>
      <c r="R7" s="16" t="n">
        <v>868.63</v>
      </c>
      <c r="S7" s="16" t="n">
        <v>686.41</v>
      </c>
      <c r="T7" s="16" t="n">
        <v>182.22</v>
      </c>
      <c r="U7" s="17" t="n">
        <v>26.54681604288983</v>
      </c>
      <c r="V7" s="18" t="n">
        <v>0.08401327738986561</v>
      </c>
      <c r="W7" s="15" t="inlineStr">
        <is>
          <t>No</t>
        </is>
      </c>
      <c r="X7" s="15" t="inlineStr"/>
    </row>
    <row r="8">
      <c r="A8" s="14" t="n">
        <v>222182</v>
      </c>
      <c r="B8" s="15" t="inlineStr">
        <is>
          <t>CS-260806-131339</t>
        </is>
      </c>
      <c r="C8" s="15" t="inlineStr">
        <is>
          <t>Yes</t>
        </is>
      </c>
      <c r="D8" s="15" t="inlineStr">
        <is>
          <t>Skybox Packaging, LLC</t>
        </is>
      </c>
      <c r="E8" s="15" t="inlineStr">
        <is>
          <t>Fragrance 101: Now in Session Header</t>
        </is>
      </c>
      <c r="F8" s="15" t="inlineStr"/>
      <c r="G8" s="14" t="n">
        <v>500</v>
      </c>
      <c r="H8" s="15" t="inlineStr">
        <is>
          <t>200-999</t>
        </is>
      </c>
      <c r="I8" s="15" t="inlineStr">
        <is>
          <t>500</t>
        </is>
      </c>
      <c r="J8" s="14" t="n">
        <v>1</v>
      </c>
      <c r="K8" s="14" t="n">
        <v>1</v>
      </c>
      <c r="L8" s="15" t="inlineStr">
        <is>
          <t>qty-only</t>
        </is>
      </c>
      <c r="M8" s="15" t="inlineStr">
        <is>
          <t>Satin</t>
        </is>
      </c>
      <c r="N8" s="15" t="inlineStr">
        <is>
          <t>Print</t>
        </is>
      </c>
      <c r="O8" s="15" t="inlineStr">
        <is>
          <t>CAD</t>
        </is>
      </c>
      <c r="P8" s="15" t="inlineStr">
        <is>
          <t>ECT 32 B</t>
        </is>
      </c>
      <c r="Q8" s="15" t="inlineStr">
        <is>
          <t>No</t>
        </is>
      </c>
      <c r="R8" s="16" t="n">
        <v>1259.41</v>
      </c>
      <c r="S8" s="16" t="n">
        <v>971.17</v>
      </c>
      <c r="T8" s="16" t="n">
        <v>288.2400000000001</v>
      </c>
      <c r="U8" s="17" t="n">
        <v>29.67966473428958</v>
      </c>
      <c r="V8" s="18" t="n">
        <v>0.1512600359852083</v>
      </c>
      <c r="W8" s="15" t="inlineStr">
        <is>
          <t>No</t>
        </is>
      </c>
      <c r="X8" s="15" t="inlineStr"/>
    </row>
    <row r="9">
      <c r="A9" s="14" t="n">
        <v>222183</v>
      </c>
      <c r="B9" s="15" t="inlineStr">
        <is>
          <t>CS-260806-125309</t>
        </is>
      </c>
      <c r="C9" s="15" t="inlineStr">
        <is>
          <t>Yes</t>
        </is>
      </c>
      <c r="D9" s="15" t="inlineStr">
        <is>
          <t>The Standard Group</t>
        </is>
      </c>
      <c r="E9" s="15" t="inlineStr">
        <is>
          <t>Artifex - Sample Box &amp; Tray - 22 Samples Size</t>
        </is>
      </c>
      <c r="F9" s="15" t="inlineStr"/>
      <c r="G9" s="14" t="n">
        <v>101</v>
      </c>
      <c r="H9" s="15" t="inlineStr">
        <is>
          <t>50-199</t>
        </is>
      </c>
      <c r="I9" s="15" t="inlineStr">
        <is>
          <t>101</t>
        </is>
      </c>
      <c r="J9" s="14" t="n">
        <v>2</v>
      </c>
      <c r="K9" s="14" t="n">
        <v>2</v>
      </c>
      <c r="L9" s="15" t="inlineStr">
        <is>
          <t>qty-only</t>
        </is>
      </c>
      <c r="M9" s="15" t="inlineStr">
        <is>
          <t>Satin</t>
        </is>
      </c>
      <c r="N9" s="15" t="inlineStr">
        <is>
          <t>Print</t>
        </is>
      </c>
      <c r="O9" s="15" t="inlineStr">
        <is>
          <t>CAD</t>
        </is>
      </c>
      <c r="P9" s="15" t="inlineStr">
        <is>
          <t>200 E</t>
        </is>
      </c>
      <c r="Q9" s="15" t="inlineStr">
        <is>
          <t>No</t>
        </is>
      </c>
      <c r="R9" s="16" t="n">
        <v>3434.02</v>
      </c>
      <c r="S9" s="16" t="n">
        <v>2274.33</v>
      </c>
      <c r="T9" s="16" t="n">
        <v>1159.69</v>
      </c>
      <c r="U9" s="17" t="n">
        <v>50.99040156881368</v>
      </c>
      <c r="V9" s="18" t="n">
        <v>0.6086961002720598</v>
      </c>
      <c r="W9" s="15" t="inlineStr">
        <is>
          <t>No</t>
        </is>
      </c>
      <c r="X9" s="15" t="inlineStr"/>
    </row>
    <row r="10">
      <c r="A10" s="14" t="n">
        <v>222219</v>
      </c>
      <c r="B10" s="15" t="inlineStr">
        <is>
          <t>RW-260807-161054</t>
        </is>
      </c>
      <c r="C10" s="15" t="inlineStr">
        <is>
          <t>Yes</t>
        </is>
      </c>
      <c r="D10" s="15" t="inlineStr">
        <is>
          <t>PCA - Akron</t>
        </is>
      </c>
      <c r="E10" s="15" t="inlineStr">
        <is>
          <t>Savant GE 93129294 T8A 4ft 20pk</t>
        </is>
      </c>
      <c r="F10" s="15" t="inlineStr"/>
      <c r="G10" s="14" t="n">
        <v>120</v>
      </c>
      <c r="H10" s="15" t="inlineStr">
        <is>
          <t>50-199</t>
        </is>
      </c>
      <c r="I10" s="15" t="inlineStr">
        <is>
          <t>120</t>
        </is>
      </c>
      <c r="J10" s="14" t="n">
        <v>1</v>
      </c>
      <c r="K10" s="14" t="n">
        <v>1</v>
      </c>
      <c r="L10" s="15" t="inlineStr">
        <is>
          <t>qty-only</t>
        </is>
      </c>
      <c r="M10" s="15" t="inlineStr">
        <is>
          <t>Satin</t>
        </is>
      </c>
      <c r="N10" s="15" t="inlineStr">
        <is>
          <t>Print</t>
        </is>
      </c>
      <c r="O10" s="15" t="inlineStr">
        <is>
          <t>CAD</t>
        </is>
      </c>
      <c r="P10" s="15" t="inlineStr">
        <is>
          <t>200 C</t>
        </is>
      </c>
      <c r="Q10" s="15" t="inlineStr">
        <is>
          <t>No</t>
        </is>
      </c>
      <c r="R10" s="16" t="n">
        <v>3042.05</v>
      </c>
      <c r="S10" s="16" t="n">
        <v>2301.63</v>
      </c>
      <c r="T10" s="16" t="n">
        <v>740.4200000000001</v>
      </c>
      <c r="U10" s="17" t="n">
        <v>32.16937561641097</v>
      </c>
      <c r="V10" s="18" t="n">
        <v>0.2047018083637553</v>
      </c>
      <c r="W10" s="15" t="inlineStr">
        <is>
          <t>No</t>
        </is>
      </c>
      <c r="X10" s="15" t="inlineStr"/>
    </row>
    <row r="11">
      <c r="A11" s="14" t="n">
        <v>222220</v>
      </c>
      <c r="B11" s="15" t="inlineStr">
        <is>
          <t>CS-260805-145422</t>
        </is>
      </c>
      <c r="C11" s="15" t="inlineStr">
        <is>
          <t>Yes</t>
        </is>
      </c>
      <c r="D11" s="15" t="inlineStr">
        <is>
          <t>PCA - Akron</t>
        </is>
      </c>
      <c r="E11" s="15" t="inlineStr">
        <is>
          <t>GE Savant Dynamic Effects Smart Bulb A19 60W</t>
        </is>
      </c>
      <c r="F11" s="15" t="inlineStr"/>
      <c r="G11" s="14" t="n">
        <v>1500</v>
      </c>
      <c r="H11" s="15" t="inlineStr">
        <is>
          <t>1000-4999</t>
        </is>
      </c>
      <c r="I11" s="15" t="inlineStr">
        <is>
          <t>1500</t>
        </is>
      </c>
      <c r="J11" s="14" t="n">
        <v>1</v>
      </c>
      <c r="K11" s="14" t="n">
        <v>1</v>
      </c>
      <c r="L11" s="15" t="inlineStr">
        <is>
          <t>qty-only</t>
        </is>
      </c>
      <c r="M11" s="15" t="inlineStr">
        <is>
          <t>Satin</t>
        </is>
      </c>
      <c r="N11" s="15" t="inlineStr">
        <is>
          <t>Print</t>
        </is>
      </c>
      <c r="O11" s="15" t="inlineStr">
        <is>
          <t>CAD</t>
        </is>
      </c>
      <c r="P11" s="15" t="inlineStr">
        <is>
          <t>ECT 32 B</t>
        </is>
      </c>
      <c r="Q11" s="15" t="inlineStr">
        <is>
          <t>No</t>
        </is>
      </c>
      <c r="R11" s="16" t="n">
        <v>1867.12</v>
      </c>
      <c r="S11" s="16" t="n">
        <v>1727.08</v>
      </c>
      <c r="T11" s="16" t="n">
        <v>140.04</v>
      </c>
      <c r="U11" s="17" t="n">
        <v>8.108483683442572</v>
      </c>
      <c r="V11" s="18" t="n">
        <v>-0.3117664768256015</v>
      </c>
      <c r="W11" s="15" t="inlineStr">
        <is>
          <t>No</t>
        </is>
      </c>
      <c r="X11" s="15" t="inlineStr"/>
    </row>
    <row r="12">
      <c r="A12" s="14" t="n">
        <v>222247</v>
      </c>
      <c r="B12" s="15" t="inlineStr">
        <is>
          <t>RW-260804-170630</t>
        </is>
      </c>
      <c r="C12" s="15" t="inlineStr">
        <is>
          <t>Yes</t>
        </is>
      </c>
      <c r="D12" s="15" t="inlineStr">
        <is>
          <t>BCI-Houston Division</t>
        </is>
      </c>
      <c r="E12" s="15" t="inlineStr">
        <is>
          <t>Klass Time Weekender / 5-Shelf Display</t>
        </is>
      </c>
      <c r="F12" s="15" t="inlineStr">
        <is>
          <t>Die Cut Body/Shelves - 1</t>
        </is>
      </c>
      <c r="G12" s="14" t="n">
        <v>400</v>
      </c>
      <c r="H12" s="15" t="inlineStr">
        <is>
          <t>200-999</t>
        </is>
      </c>
      <c r="I12" s="15" t="inlineStr">
        <is>
          <t>80-400</t>
        </is>
      </c>
      <c r="J12" s="14" t="n">
        <v>6</v>
      </c>
      <c r="K12" s="14" t="n">
        <v>6</v>
      </c>
      <c r="L12" s="15" t="inlineStr">
        <is>
          <t>opt+qty</t>
        </is>
      </c>
      <c r="M12" s="15" t="inlineStr">
        <is>
          <t>Satin</t>
        </is>
      </c>
      <c r="N12" s="15" t="inlineStr">
        <is>
          <t>Print</t>
        </is>
      </c>
      <c r="O12" s="15" t="inlineStr">
        <is>
          <t>CAD</t>
        </is>
      </c>
      <c r="P12" s="15" t="inlineStr">
        <is>
          <t>ECT 44 B</t>
        </is>
      </c>
      <c r="Q12" s="15" t="inlineStr">
        <is>
          <t>No</t>
        </is>
      </c>
      <c r="R12" s="16" t="n">
        <v>9699.290000000001</v>
      </c>
      <c r="S12" s="16" t="n">
        <v>13165.59</v>
      </c>
      <c r="T12" s="16" t="n">
        <v>-3466.299999999997</v>
      </c>
      <c r="U12" s="17" t="n">
        <v>-26.32848205055753</v>
      </c>
      <c r="V12" s="18" t="n">
        <v>-1.050957720829059</v>
      </c>
      <c r="W12" s="15" t="inlineStr">
        <is>
          <t>No</t>
        </is>
      </c>
      <c r="X12" s="15" t="inlineStr"/>
    </row>
    <row r="13">
      <c r="A13" s="14" t="n">
        <v>222247</v>
      </c>
      <c r="B13" s="15" t="inlineStr">
        <is>
          <t>RW-260804-170630</t>
        </is>
      </c>
      <c r="C13" s="15" t="inlineStr">
        <is>
          <t>Yes</t>
        </is>
      </c>
      <c r="D13" s="15" t="inlineStr">
        <is>
          <t>BCI-Houston Division</t>
        </is>
      </c>
      <c r="E13" s="15" t="inlineStr">
        <is>
          <t>Klass Time Weekender / 5-Shelf Display</t>
        </is>
      </c>
      <c r="F13" s="15" t="inlineStr">
        <is>
          <t>Die Cut Body/Shelves -2</t>
        </is>
      </c>
      <c r="G13" s="14" t="n">
        <v>660</v>
      </c>
      <c r="H13" s="15" t="inlineStr">
        <is>
          <t>200-999</t>
        </is>
      </c>
      <c r="I13" s="15" t="inlineStr">
        <is>
          <t>132-660</t>
        </is>
      </c>
      <c r="J13" s="14" t="n">
        <v>6</v>
      </c>
      <c r="K13" s="14" t="n">
        <v>6</v>
      </c>
      <c r="L13" s="15" t="inlineStr">
        <is>
          <t>opt+qty</t>
        </is>
      </c>
      <c r="M13" s="15" t="inlineStr">
        <is>
          <t>Satin</t>
        </is>
      </c>
      <c r="N13" s="15" t="inlineStr">
        <is>
          <t>Print</t>
        </is>
      </c>
      <c r="O13" s="15" t="inlineStr">
        <is>
          <t>CAD/Crest/Saber + D/C</t>
        </is>
      </c>
      <c r="P13" s="15" t="inlineStr">
        <is>
          <t>ECT 44 B</t>
        </is>
      </c>
      <c r="Q13" s="15" t="inlineStr">
        <is>
          <t>No</t>
        </is>
      </c>
      <c r="R13" s="16" t="n">
        <v>16330.89</v>
      </c>
      <c r="S13" s="16" t="n">
        <v>18284.6</v>
      </c>
      <c r="T13" s="16" t="n">
        <v>-1953.710000000003</v>
      </c>
      <c r="U13" s="17" t="n">
        <v>-10.68500267985082</v>
      </c>
      <c r="V13" s="18" t="n">
        <v>-0.7151696300345705</v>
      </c>
      <c r="W13" s="15" t="inlineStr">
        <is>
          <t>No</t>
        </is>
      </c>
      <c r="X13" s="15" t="inlineStr"/>
    </row>
    <row r="14">
      <c r="A14" s="14" t="n">
        <v>222258</v>
      </c>
      <c r="B14" s="15" t="inlineStr">
        <is>
          <t>RW-260805-102813</t>
        </is>
      </c>
      <c r="C14" s="15" t="inlineStr">
        <is>
          <t>Yes</t>
        </is>
      </c>
      <c r="D14" s="15" t="inlineStr">
        <is>
          <t>Apex Display Group</t>
        </is>
      </c>
      <c r="E14" s="15" t="inlineStr">
        <is>
          <t>Halfday Limited Edition Watermelon Half &amp; Half Header - 2 Art Combo Run</t>
        </is>
      </c>
      <c r="F14" s="15" t="inlineStr">
        <is>
          <t>Option 2</t>
        </is>
      </c>
      <c r="G14" s="14" t="n">
        <v>250</v>
      </c>
      <c r="H14" s="15" t="inlineStr">
        <is>
          <t>200-999</t>
        </is>
      </c>
      <c r="I14" s="15" t="inlineStr">
        <is>
          <t>60-250</t>
        </is>
      </c>
      <c r="J14" s="14" t="n">
        <v>2</v>
      </c>
      <c r="K14" s="14" t="n">
        <v>2</v>
      </c>
      <c r="L14" s="15" t="inlineStr">
        <is>
          <t>opt+qty</t>
        </is>
      </c>
      <c r="M14" s="15" t="inlineStr">
        <is>
          <t>Gloss</t>
        </is>
      </c>
      <c r="N14" s="15" t="inlineStr">
        <is>
          <t>Print</t>
        </is>
      </c>
      <c r="O14" s="15" t="inlineStr">
        <is>
          <t>CAD</t>
        </is>
      </c>
      <c r="P14" s="15" t="inlineStr">
        <is>
          <t>200 B</t>
        </is>
      </c>
      <c r="Q14" s="15" t="inlineStr">
        <is>
          <t>No</t>
        </is>
      </c>
      <c r="R14" s="16" t="n">
        <v>1600.22</v>
      </c>
      <c r="S14" s="16" t="n">
        <v>1051.34</v>
      </c>
      <c r="T14" s="16" t="n">
        <v>548.8799999999999</v>
      </c>
      <c r="U14" s="17" t="n">
        <v>52.20765879734432</v>
      </c>
      <c r="V14" s="18" t="n">
        <v>0.6348245894072507</v>
      </c>
      <c r="W14" s="15" t="inlineStr">
        <is>
          <t>No</t>
        </is>
      </c>
      <c r="X14" s="15" t="inlineStr"/>
    </row>
    <row r="15">
      <c r="A15" s="14" t="n">
        <v>222315</v>
      </c>
      <c r="B15" s="15" t="inlineStr">
        <is>
          <t>RW-260805-105526</t>
        </is>
      </c>
      <c r="C15" s="15" t="inlineStr">
        <is>
          <t>Yes</t>
        </is>
      </c>
      <c r="D15" s="15" t="inlineStr">
        <is>
          <t>Skybox Packaging, LLC</t>
        </is>
      </c>
      <c r="E15" s="15" t="inlineStr">
        <is>
          <t>PO 47492</t>
        </is>
      </c>
      <c r="F15" s="15" t="inlineStr">
        <is>
          <t>DieCut</t>
        </is>
      </c>
      <c r="G15" s="14" t="n">
        <v>1272</v>
      </c>
      <c r="H15" s="15" t="inlineStr">
        <is>
          <t>1000-4999</t>
        </is>
      </c>
      <c r="I15" s="15" t="inlineStr">
        <is>
          <t>1272</t>
        </is>
      </c>
      <c r="J15" s="14" t="n">
        <v>1</v>
      </c>
      <c r="K15" s="14" t="n">
        <v>1</v>
      </c>
      <c r="L15" s="15" t="inlineStr">
        <is>
          <t>opt+qty</t>
        </is>
      </c>
      <c r="M15" s="15" t="inlineStr">
        <is>
          <t>Gloss</t>
        </is>
      </c>
      <c r="N15" s="15" t="inlineStr">
        <is>
          <t>Print</t>
        </is>
      </c>
      <c r="O15" s="15" t="inlineStr">
        <is>
          <t>Crest</t>
        </is>
      </c>
      <c r="P15" s="15" t="inlineStr">
        <is>
          <t>200 E</t>
        </is>
      </c>
      <c r="Q15" s="15" t="inlineStr">
        <is>
          <t>No</t>
        </is>
      </c>
      <c r="R15" s="16" t="n">
        <v>6133.94</v>
      </c>
      <c r="S15" s="16" t="n">
        <v>5394.03</v>
      </c>
      <c r="T15" s="16" t="n">
        <v>739.9099999999999</v>
      </c>
      <c r="U15" s="17" t="n">
        <v>13.71720216609844</v>
      </c>
      <c r="V15" s="18" t="n">
        <v>-0.1913750455803609</v>
      </c>
      <c r="W15" s="15" t="inlineStr">
        <is>
          <t>No</t>
        </is>
      </c>
      <c r="X15" s="15" t="inlineStr"/>
    </row>
    <row r="16">
      <c r="A16" s="14" t="n">
        <v>222327</v>
      </c>
      <c r="B16" s="15" t="inlineStr">
        <is>
          <t>RW-260805-110335</t>
        </is>
      </c>
      <c r="C16" s="15" t="inlineStr">
        <is>
          <t>Yes</t>
        </is>
      </c>
      <c r="D16" s="15" t="inlineStr">
        <is>
          <t>PCA / Fairfield, OH</t>
        </is>
      </c>
      <c r="E16" s="15" t="inlineStr">
        <is>
          <t>All  Spice Merchants - 60 Sec Pickle Display</t>
        </is>
      </c>
      <c r="F16" s="15" t="inlineStr">
        <is>
          <t>Option 1 - Base Cad Cut</t>
        </is>
      </c>
      <c r="G16" s="14" t="n">
        <v>100</v>
      </c>
      <c r="H16" s="15" t="inlineStr">
        <is>
          <t>50-199</t>
        </is>
      </c>
      <c r="I16" s="15" t="inlineStr">
        <is>
          <t>100</t>
        </is>
      </c>
      <c r="J16" s="14" t="n">
        <v>1</v>
      </c>
      <c r="K16" s="14" t="n">
        <v>1</v>
      </c>
      <c r="L16" s="15" t="inlineStr">
        <is>
          <t>opt+qty</t>
        </is>
      </c>
      <c r="M16" s="15" t="inlineStr">
        <is>
          <t>Gloss</t>
        </is>
      </c>
      <c r="N16" s="15" t="inlineStr">
        <is>
          <t>Print</t>
        </is>
      </c>
      <c r="O16" s="15" t="inlineStr">
        <is>
          <t>CAD</t>
        </is>
      </c>
      <c r="P16" s="15" t="inlineStr">
        <is>
          <t>200 B</t>
        </is>
      </c>
      <c r="Q16" s="15" t="inlineStr">
        <is>
          <t>No</t>
        </is>
      </c>
      <c r="R16" s="16" t="n">
        <v>884.13</v>
      </c>
      <c r="S16" s="16" t="n">
        <v>580.26</v>
      </c>
      <c r="T16" s="16" t="n">
        <v>303.87</v>
      </c>
      <c r="U16" s="17" t="n">
        <v>52.3679040430152</v>
      </c>
      <c r="V16" s="18" t="n">
        <v>0.6382642618629499</v>
      </c>
      <c r="W16" s="15" t="inlineStr">
        <is>
          <t>No</t>
        </is>
      </c>
      <c r="X16" s="15" t="inlineStr"/>
    </row>
    <row r="17">
      <c r="A17" s="14" t="n">
        <v>222327</v>
      </c>
      <c r="B17" s="15" t="inlineStr">
        <is>
          <t>RW-260805-110335</t>
        </is>
      </c>
      <c r="C17" s="15" t="inlineStr">
        <is>
          <t>Yes</t>
        </is>
      </c>
      <c r="D17" s="15" t="inlineStr">
        <is>
          <t>PCA / Fairfield, OH</t>
        </is>
      </c>
      <c r="E17" s="15" t="inlineStr">
        <is>
          <t>All  Spice Merchants - 60 Sec Pickle Display</t>
        </is>
      </c>
      <c r="F17" s="15" t="inlineStr">
        <is>
          <t>Option 1 - Base Cad Cut</t>
        </is>
      </c>
      <c r="G17" s="14" t="n">
        <v>200</v>
      </c>
      <c r="H17" s="15" t="inlineStr">
        <is>
          <t>200-999</t>
        </is>
      </c>
      <c r="I17" s="15" t="inlineStr">
        <is>
          <t>200</t>
        </is>
      </c>
      <c r="J17" s="14" t="n">
        <v>1</v>
      </c>
      <c r="K17" s="14" t="n">
        <v>1</v>
      </c>
      <c r="L17" s="15" t="inlineStr">
        <is>
          <t>opt+qty</t>
        </is>
      </c>
      <c r="M17" s="15" t="inlineStr">
        <is>
          <t>Gloss</t>
        </is>
      </c>
      <c r="N17" s="15" t="inlineStr">
        <is>
          <t>Print</t>
        </is>
      </c>
      <c r="O17" s="15" t="inlineStr">
        <is>
          <t>CAD</t>
        </is>
      </c>
      <c r="P17" s="15" t="inlineStr">
        <is>
          <t>200 B</t>
        </is>
      </c>
      <c r="Q17" s="15" t="inlineStr">
        <is>
          <t>No</t>
        </is>
      </c>
      <c r="R17" s="16" t="n">
        <v>1274.36</v>
      </c>
      <c r="S17" s="16" t="n">
        <v>865.11</v>
      </c>
      <c r="T17" s="16" t="n">
        <v>409.2499999999999</v>
      </c>
      <c r="U17" s="17" t="n">
        <v>47.30612292078462</v>
      </c>
      <c r="V17" s="18" t="n">
        <v>0.5296128692427029</v>
      </c>
      <c r="W17" s="15" t="inlineStr">
        <is>
          <t>No</t>
        </is>
      </c>
      <c r="X17" s="15" t="inlineStr"/>
    </row>
    <row r="18">
      <c r="A18" s="14" t="n">
        <v>222327</v>
      </c>
      <c r="B18" s="15" t="inlineStr">
        <is>
          <t>RW-260805-110335</t>
        </is>
      </c>
      <c r="C18" s="15" t="inlineStr">
        <is>
          <t>Yes</t>
        </is>
      </c>
      <c r="D18" s="15" t="inlineStr">
        <is>
          <t>PCA / Fairfield, OH</t>
        </is>
      </c>
      <c r="E18" s="15" t="inlineStr">
        <is>
          <t>All  Spice Merchants - 60 Sec Pickle Display</t>
        </is>
      </c>
      <c r="F18" s="15" t="inlineStr">
        <is>
          <t>Option 1 - Base Cad Cut</t>
        </is>
      </c>
      <c r="G18" s="14" t="n">
        <v>300</v>
      </c>
      <c r="H18" s="15" t="inlineStr">
        <is>
          <t>200-999</t>
        </is>
      </c>
      <c r="I18" s="15" t="inlineStr">
        <is>
          <t>300</t>
        </is>
      </c>
      <c r="J18" s="14" t="n">
        <v>1</v>
      </c>
      <c r="K18" s="14" t="n">
        <v>1</v>
      </c>
      <c r="L18" s="15" t="inlineStr">
        <is>
          <t>opt+qty</t>
        </is>
      </c>
      <c r="M18" s="15" t="inlineStr">
        <is>
          <t>Gloss</t>
        </is>
      </c>
      <c r="N18" s="15" t="inlineStr">
        <is>
          <t>Print</t>
        </is>
      </c>
      <c r="O18" s="15" t="inlineStr">
        <is>
          <t>CAD</t>
        </is>
      </c>
      <c r="P18" s="15" t="inlineStr">
        <is>
          <t>200 B</t>
        </is>
      </c>
      <c r="Q18" s="15" t="inlineStr">
        <is>
          <t>No</t>
        </is>
      </c>
      <c r="R18" s="16" t="n">
        <v>1317.07</v>
      </c>
      <c r="S18" s="16" t="n">
        <v>1087.68</v>
      </c>
      <c r="T18" s="16" t="n">
        <v>229.3899999999999</v>
      </c>
      <c r="U18" s="17" t="n">
        <v>21.08984260076492</v>
      </c>
      <c r="V18" s="18" t="n">
        <v>-0.03312093874101627</v>
      </c>
      <c r="W18" s="15" t="inlineStr">
        <is>
          <t>No</t>
        </is>
      </c>
      <c r="X18" s="15" t="inlineStr"/>
    </row>
    <row r="19">
      <c r="A19" s="14" t="n">
        <v>222466</v>
      </c>
      <c r="B19" s="15" t="inlineStr">
        <is>
          <t>RW-260805-111442</t>
        </is>
      </c>
      <c r="C19" s="15" t="inlineStr">
        <is>
          <t>Yes</t>
        </is>
      </c>
      <c r="D19" s="15" t="inlineStr">
        <is>
          <t>McElroy Contract Packaging, Inc.</t>
        </is>
      </c>
      <c r="E19" s="15" t="inlineStr">
        <is>
          <t>Consolidated Solutions</t>
        </is>
      </c>
      <c r="F19" s="15" t="inlineStr">
        <is>
          <t>CAD Cut</t>
        </is>
      </c>
      <c r="G19" s="14" t="n">
        <v>117</v>
      </c>
      <c r="H19" s="15" t="inlineStr">
        <is>
          <t>50-199</t>
        </is>
      </c>
      <c r="I19" s="15" t="inlineStr">
        <is>
          <t>117</t>
        </is>
      </c>
      <c r="J19" s="14" t="n">
        <v>1</v>
      </c>
      <c r="K19" s="14" t="n">
        <v>1</v>
      </c>
      <c r="L19" s="15" t="inlineStr">
        <is>
          <t>opt+qty</t>
        </is>
      </c>
      <c r="M19" s="15" t="inlineStr">
        <is>
          <t>Satin</t>
        </is>
      </c>
      <c r="N19" s="15" t="inlineStr">
        <is>
          <t>Print</t>
        </is>
      </c>
      <c r="O19" s="15" t="inlineStr">
        <is>
          <t>CAD</t>
        </is>
      </c>
      <c r="P19" s="15" t="inlineStr">
        <is>
          <t>ECT 32 B</t>
        </is>
      </c>
      <c r="Q19" s="15" t="inlineStr">
        <is>
          <t>No</t>
        </is>
      </c>
      <c r="R19" s="16" t="n">
        <v>1143.21</v>
      </c>
      <c r="S19" s="16" t="n">
        <v>698.1799999999999</v>
      </c>
      <c r="T19" s="16" t="n">
        <v>445.0300000000001</v>
      </c>
      <c r="U19" s="17" t="n">
        <v>63.74144203500531</v>
      </c>
      <c r="V19" s="18" t="n">
        <v>0.8823978409349061</v>
      </c>
      <c r="W19" s="15" t="inlineStr">
        <is>
          <t>No</t>
        </is>
      </c>
      <c r="X19" s="15" t="inlineStr"/>
    </row>
    <row r="20">
      <c r="A20" s="14" t="n">
        <v>222466</v>
      </c>
      <c r="B20" s="15" t="inlineStr">
        <is>
          <t>RW-260805-111442</t>
        </is>
      </c>
      <c r="C20" s="15" t="inlineStr">
        <is>
          <t>Yes</t>
        </is>
      </c>
      <c r="D20" s="15" t="inlineStr">
        <is>
          <t>McElroy Contract Packaging, Inc.</t>
        </is>
      </c>
      <c r="E20" s="15" t="inlineStr">
        <is>
          <t>Consolidated Solutions</t>
        </is>
      </c>
      <c r="F20" s="15" t="inlineStr">
        <is>
          <t>CAD Cut</t>
        </is>
      </c>
      <c r="G20" s="14" t="n">
        <v>170</v>
      </c>
      <c r="H20" s="15" t="inlineStr">
        <is>
          <t>50-199</t>
        </is>
      </c>
      <c r="I20" s="15" t="inlineStr">
        <is>
          <t>170</t>
        </is>
      </c>
      <c r="J20" s="14" t="n">
        <v>1</v>
      </c>
      <c r="K20" s="14" t="n">
        <v>1</v>
      </c>
      <c r="L20" s="15" t="inlineStr">
        <is>
          <t>opt+qty</t>
        </is>
      </c>
      <c r="M20" s="15" t="inlineStr">
        <is>
          <t>Satin</t>
        </is>
      </c>
      <c r="N20" s="15" t="inlineStr">
        <is>
          <t>Print</t>
        </is>
      </c>
      <c r="O20" s="15" t="inlineStr">
        <is>
          <t>CAD</t>
        </is>
      </c>
      <c r="P20" s="15" t="inlineStr">
        <is>
          <t>ECT 32 B</t>
        </is>
      </c>
      <c r="Q20" s="15" t="inlineStr">
        <is>
          <t>No</t>
        </is>
      </c>
      <c r="R20" s="16" t="n">
        <v>1207.63</v>
      </c>
      <c r="S20" s="16" t="n">
        <v>850.62</v>
      </c>
      <c r="T20" s="16" t="n">
        <v>357.0100000000001</v>
      </c>
      <c r="U20" s="17" t="n">
        <v>41.97056264842116</v>
      </c>
      <c r="V20" s="18" t="n">
        <v>0.4150847930571229</v>
      </c>
      <c r="W20" s="15" t="inlineStr">
        <is>
          <t>No</t>
        </is>
      </c>
      <c r="X20" s="15" t="inlineStr"/>
    </row>
    <row r="21">
      <c r="A21" s="14" t="n">
        <v>222466</v>
      </c>
      <c r="B21" s="15" t="inlineStr">
        <is>
          <t>RW-260805-111442</t>
        </is>
      </c>
      <c r="C21" s="15" t="inlineStr">
        <is>
          <t>Yes</t>
        </is>
      </c>
      <c r="D21" s="15" t="inlineStr">
        <is>
          <t>McElroy Contract Packaging, Inc.</t>
        </is>
      </c>
      <c r="E21" s="15" t="inlineStr">
        <is>
          <t>Consolidated Solutions</t>
        </is>
      </c>
      <c r="F21" s="15" t="inlineStr">
        <is>
          <t>CAD Cut</t>
        </is>
      </c>
      <c r="G21" s="14" t="n">
        <v>559</v>
      </c>
      <c r="H21" s="15" t="inlineStr">
        <is>
          <t>200-999</t>
        </is>
      </c>
      <c r="I21" s="15" t="inlineStr">
        <is>
          <t>559</t>
        </is>
      </c>
      <c r="J21" s="14" t="n">
        <v>1</v>
      </c>
      <c r="K21" s="14" t="n">
        <v>1</v>
      </c>
      <c r="L21" s="15" t="inlineStr">
        <is>
          <t>opt+qty</t>
        </is>
      </c>
      <c r="M21" s="15" t="inlineStr">
        <is>
          <t>Satin</t>
        </is>
      </c>
      <c r="N21" s="15" t="inlineStr">
        <is>
          <t>Print</t>
        </is>
      </c>
      <c r="O21" s="15" t="inlineStr">
        <is>
          <t>CAD</t>
        </is>
      </c>
      <c r="P21" s="15" t="inlineStr">
        <is>
          <t>ECT 32 B</t>
        </is>
      </c>
      <c r="Q21" s="15" t="inlineStr">
        <is>
          <t>No</t>
        </is>
      </c>
      <c r="R21" s="16" t="n">
        <v>2901.22</v>
      </c>
      <c r="S21" s="16" t="n">
        <v>1953.92</v>
      </c>
      <c r="T21" s="16" t="n">
        <v>947.2999999999997</v>
      </c>
      <c r="U21" s="17" t="n">
        <v>48.48202587618734</v>
      </c>
      <c r="V21" s="18" t="n">
        <v>0.5548536867742339</v>
      </c>
      <c r="W21" s="15" t="inlineStr">
        <is>
          <t>No</t>
        </is>
      </c>
      <c r="X21" s="15" t="inlineStr"/>
    </row>
    <row r="22">
      <c r="A22" s="14" t="n">
        <v>222466</v>
      </c>
      <c r="B22" s="15" t="inlineStr">
        <is>
          <t>RW-260805-111442</t>
        </is>
      </c>
      <c r="C22" s="15" t="inlineStr">
        <is>
          <t>Yes</t>
        </is>
      </c>
      <c r="D22" s="15" t="inlineStr">
        <is>
          <t>McElroy Contract Packaging, Inc.</t>
        </is>
      </c>
      <c r="E22" s="15" t="inlineStr">
        <is>
          <t>Consolidated Solutions</t>
        </is>
      </c>
      <c r="F22" s="15" t="inlineStr">
        <is>
          <t>CAD Cut</t>
        </is>
      </c>
      <c r="G22" s="14" t="n">
        <v>643</v>
      </c>
      <c r="H22" s="15" t="inlineStr">
        <is>
          <t>200-999</t>
        </is>
      </c>
      <c r="I22" s="15" t="inlineStr">
        <is>
          <t>643</t>
        </is>
      </c>
      <c r="J22" s="14" t="n">
        <v>1</v>
      </c>
      <c r="K22" s="14" t="n">
        <v>1</v>
      </c>
      <c r="L22" s="15" t="inlineStr">
        <is>
          <t>opt+qty</t>
        </is>
      </c>
      <c r="M22" s="15" t="inlineStr">
        <is>
          <t>Satin</t>
        </is>
      </c>
      <c r="N22" s="15" t="inlineStr">
        <is>
          <t>Print</t>
        </is>
      </c>
      <c r="O22" s="15" t="inlineStr">
        <is>
          <t>CAD</t>
        </is>
      </c>
      <c r="P22" s="15" t="inlineStr">
        <is>
          <t>ECT 32 B</t>
        </is>
      </c>
      <c r="Q22" s="15" t="inlineStr">
        <is>
          <t>No</t>
        </is>
      </c>
      <c r="R22" s="16" t="n">
        <v>3302.4</v>
      </c>
      <c r="S22" s="16" t="n">
        <v>2166.35</v>
      </c>
      <c r="T22" s="16" t="n">
        <v>1136.05</v>
      </c>
      <c r="U22" s="17" t="n">
        <v>52.4407413391188</v>
      </c>
      <c r="V22" s="18" t="n">
        <v>0.6398277181770906</v>
      </c>
      <c r="W22" s="15" t="inlineStr">
        <is>
          <t>No</t>
        </is>
      </c>
      <c r="X22" s="15" t="inlineStr"/>
    </row>
    <row r="23">
      <c r="A23" s="14" t="n">
        <v>222466</v>
      </c>
      <c r="B23" s="15" t="inlineStr">
        <is>
          <t>RW-260805-111442</t>
        </is>
      </c>
      <c r="C23" s="15" t="inlineStr">
        <is>
          <t>Yes</t>
        </is>
      </c>
      <c r="D23" s="15" t="inlineStr">
        <is>
          <t>McElroy Contract Packaging, Inc.</t>
        </is>
      </c>
      <c r="E23" s="15" t="inlineStr">
        <is>
          <t>Consolidated Solutions</t>
        </is>
      </c>
      <c r="F23" s="15" t="inlineStr">
        <is>
          <t>Die Cut</t>
        </is>
      </c>
      <c r="G23" s="14" t="n">
        <v>1360</v>
      </c>
      <c r="H23" s="15" t="inlineStr">
        <is>
          <t>1000-4999</t>
        </is>
      </c>
      <c r="I23" s="15" t="inlineStr">
        <is>
          <t>1360</t>
        </is>
      </c>
      <c r="J23" s="14" t="n">
        <v>1</v>
      </c>
      <c r="K23" s="14" t="n">
        <v>1</v>
      </c>
      <c r="L23" s="15" t="inlineStr">
        <is>
          <t>opt+qty</t>
        </is>
      </c>
      <c r="M23" s="15" t="inlineStr">
        <is>
          <t>Satin</t>
        </is>
      </c>
      <c r="N23" s="15" t="inlineStr">
        <is>
          <t>Print</t>
        </is>
      </c>
      <c r="O23" s="15" t="inlineStr">
        <is>
          <t>Crest</t>
        </is>
      </c>
      <c r="P23" s="15" t="inlineStr">
        <is>
          <t>ECT 32 B</t>
        </is>
      </c>
      <c r="Q23" s="15" t="inlineStr">
        <is>
          <t>No</t>
        </is>
      </c>
      <c r="R23" s="16" t="n">
        <v>5717.91</v>
      </c>
      <c r="S23" s="16" t="n">
        <v>4174.76</v>
      </c>
      <c r="T23" s="16" t="n">
        <v>1543.15</v>
      </c>
      <c r="U23" s="17" t="n">
        <v>36.96380151194319</v>
      </c>
      <c r="V23" s="18" t="n">
        <v>0.3076144072662134</v>
      </c>
      <c r="W23" s="15" t="inlineStr">
        <is>
          <t>No</t>
        </is>
      </c>
      <c r="X23" s="15" t="inlineStr"/>
    </row>
    <row r="24">
      <c r="A24" s="14" t="n">
        <v>222478</v>
      </c>
      <c r="B24" s="15" t="inlineStr">
        <is>
          <t>RW-260805-132313</t>
        </is>
      </c>
      <c r="C24" s="15" t="inlineStr">
        <is>
          <t>Yes</t>
        </is>
      </c>
      <c r="D24" s="15" t="inlineStr">
        <is>
          <t>McElroy Contract Packaging, Inc.</t>
        </is>
      </c>
      <c r="E24" s="15" t="inlineStr">
        <is>
          <t>XL Sleeve</t>
        </is>
      </c>
      <c r="F24" s="15" t="inlineStr">
        <is>
          <t>CAD Cut</t>
        </is>
      </c>
      <c r="G24" s="14" t="n">
        <v>160</v>
      </c>
      <c r="H24" s="15" t="inlineStr">
        <is>
          <t>50-199</t>
        </is>
      </c>
      <c r="I24" s="15" t="inlineStr">
        <is>
          <t>160</t>
        </is>
      </c>
      <c r="J24" s="14" t="n">
        <v>1</v>
      </c>
      <c r="K24" s="14" t="n">
        <v>1</v>
      </c>
      <c r="L24" s="15" t="inlineStr">
        <is>
          <t>opt+qty</t>
        </is>
      </c>
      <c r="M24" s="15" t="inlineStr">
        <is>
          <t>Satin</t>
        </is>
      </c>
      <c r="N24" s="15" t="inlineStr">
        <is>
          <t>Print</t>
        </is>
      </c>
      <c r="O24" s="15" t="inlineStr">
        <is>
          <t>CAD</t>
        </is>
      </c>
      <c r="P24" s="15" t="inlineStr">
        <is>
          <t>200 B</t>
        </is>
      </c>
      <c r="Q24" s="15" t="inlineStr">
        <is>
          <t>No</t>
        </is>
      </c>
      <c r="R24" s="16" t="n">
        <v>1378.92</v>
      </c>
      <c r="S24" s="16" t="n">
        <v>1102.66</v>
      </c>
      <c r="T24" s="16" t="n">
        <v>276.26</v>
      </c>
      <c r="U24" s="17" t="n">
        <v>25.05396042297716</v>
      </c>
      <c r="V24" s="18" t="n">
        <v>0.05196905458218404</v>
      </c>
      <c r="W24" s="15" t="inlineStr">
        <is>
          <t>No</t>
        </is>
      </c>
      <c r="X24" s="15" t="inlineStr"/>
    </row>
    <row r="25">
      <c r="A25" s="14" t="n">
        <v>222478</v>
      </c>
      <c r="B25" s="15" t="inlineStr">
        <is>
          <t>RW-260805-132313</t>
        </is>
      </c>
      <c r="C25" s="15" t="inlineStr">
        <is>
          <t>Yes</t>
        </is>
      </c>
      <c r="D25" s="15" t="inlineStr">
        <is>
          <t>McElroy Contract Packaging, Inc.</t>
        </is>
      </c>
      <c r="E25" s="15" t="inlineStr">
        <is>
          <t>XL Sleeve</t>
        </is>
      </c>
      <c r="F25" s="15" t="inlineStr">
        <is>
          <t>CAD Cut</t>
        </is>
      </c>
      <c r="G25" s="14" t="n">
        <v>180</v>
      </c>
      <c r="H25" s="15" t="inlineStr">
        <is>
          <t>50-199</t>
        </is>
      </c>
      <c r="I25" s="15" t="inlineStr">
        <is>
          <t>180</t>
        </is>
      </c>
      <c r="J25" s="14" t="n">
        <v>1</v>
      </c>
      <c r="K25" s="14" t="n">
        <v>1</v>
      </c>
      <c r="L25" s="15" t="inlineStr">
        <is>
          <t>opt+qty</t>
        </is>
      </c>
      <c r="M25" s="15" t="inlineStr">
        <is>
          <t>Satin</t>
        </is>
      </c>
      <c r="N25" s="15" t="inlineStr">
        <is>
          <t>Print</t>
        </is>
      </c>
      <c r="O25" s="15" t="inlineStr">
        <is>
          <t>CAD</t>
        </is>
      </c>
      <c r="P25" s="15" t="inlineStr">
        <is>
          <t>200 B</t>
        </is>
      </c>
      <c r="Q25" s="15" t="inlineStr">
        <is>
          <t>No</t>
        </is>
      </c>
      <c r="R25" s="16" t="n">
        <v>1508.58</v>
      </c>
      <c r="S25" s="16" t="n">
        <v>1194.5</v>
      </c>
      <c r="T25" s="16" t="n">
        <v>314.0799999999999</v>
      </c>
      <c r="U25" s="17" t="n">
        <v>26.29384679782335</v>
      </c>
      <c r="V25" s="18" t="n">
        <v>0.07858327950910911</v>
      </c>
      <c r="W25" s="15" t="inlineStr">
        <is>
          <t>No</t>
        </is>
      </c>
      <c r="X25" s="15" t="inlineStr"/>
    </row>
    <row r="26">
      <c r="A26" s="14" t="n">
        <v>222478</v>
      </c>
      <c r="B26" s="15" t="inlineStr">
        <is>
          <t>RW-260805-132313</t>
        </is>
      </c>
      <c r="C26" s="15" t="inlineStr">
        <is>
          <t>Yes</t>
        </is>
      </c>
      <c r="D26" s="15" t="inlineStr">
        <is>
          <t>McElroy Contract Packaging, Inc.</t>
        </is>
      </c>
      <c r="E26" s="15" t="inlineStr">
        <is>
          <t>XL Sleeve</t>
        </is>
      </c>
      <c r="F26" s="15" t="inlineStr">
        <is>
          <t>CAD Cut</t>
        </is>
      </c>
      <c r="G26" s="14" t="n">
        <v>470</v>
      </c>
      <c r="H26" s="15" t="inlineStr">
        <is>
          <t>200-999</t>
        </is>
      </c>
      <c r="I26" s="15" t="inlineStr">
        <is>
          <t>470</t>
        </is>
      </c>
      <c r="J26" s="14" t="n">
        <v>1</v>
      </c>
      <c r="K26" s="14" t="n">
        <v>1</v>
      </c>
      <c r="L26" s="15" t="inlineStr">
        <is>
          <t>opt+qty</t>
        </is>
      </c>
      <c r="M26" s="15" t="inlineStr">
        <is>
          <t>Satin</t>
        </is>
      </c>
      <c r="N26" s="15" t="inlineStr">
        <is>
          <t>Print</t>
        </is>
      </c>
      <c r="O26" s="15" t="inlineStr">
        <is>
          <t>CAD</t>
        </is>
      </c>
      <c r="P26" s="15" t="inlineStr">
        <is>
          <t>200 B</t>
        </is>
      </c>
      <c r="Q26" s="15" t="inlineStr">
        <is>
          <t>No</t>
        </is>
      </c>
      <c r="R26" s="16" t="n">
        <v>3171.33</v>
      </c>
      <c r="S26" s="16" t="n">
        <v>2526.17</v>
      </c>
      <c r="T26" s="16" t="n">
        <v>645.1599999999999</v>
      </c>
      <c r="U26" s="17" t="n">
        <v>25.53905714975635</v>
      </c>
      <c r="V26" s="18" t="n">
        <v>0.06238168081934056</v>
      </c>
      <c r="W26" s="15" t="inlineStr">
        <is>
          <t>No</t>
        </is>
      </c>
      <c r="X26" s="15" t="inlineStr"/>
    </row>
    <row r="27">
      <c r="A27" s="14" t="n">
        <v>222478</v>
      </c>
      <c r="B27" s="15" t="inlineStr">
        <is>
          <t>RW-260805-132313</t>
        </is>
      </c>
      <c r="C27" s="15" t="inlineStr">
        <is>
          <t>Yes</t>
        </is>
      </c>
      <c r="D27" s="15" t="inlineStr">
        <is>
          <t>McElroy Contract Packaging, Inc.</t>
        </is>
      </c>
      <c r="E27" s="15" t="inlineStr">
        <is>
          <t>XL Sleeve</t>
        </is>
      </c>
      <c r="F27" s="15" t="inlineStr">
        <is>
          <t>CAD Cut</t>
        </is>
      </c>
      <c r="G27" s="14" t="n">
        <v>617</v>
      </c>
      <c r="H27" s="15" t="inlineStr">
        <is>
          <t>200-999</t>
        </is>
      </c>
      <c r="I27" s="15" t="inlineStr">
        <is>
          <t>617</t>
        </is>
      </c>
      <c r="J27" s="14" t="n">
        <v>1</v>
      </c>
      <c r="K27" s="14" t="n">
        <v>1</v>
      </c>
      <c r="L27" s="15" t="inlineStr">
        <is>
          <t>opt+qty</t>
        </is>
      </c>
      <c r="M27" s="15" t="inlineStr">
        <is>
          <t>Satin</t>
        </is>
      </c>
      <c r="N27" s="15" t="inlineStr">
        <is>
          <t>Print</t>
        </is>
      </c>
      <c r="O27" s="15" t="inlineStr">
        <is>
          <t>Crest</t>
        </is>
      </c>
      <c r="P27" s="15" t="inlineStr">
        <is>
          <t>200 B</t>
        </is>
      </c>
      <c r="Q27" s="15" t="inlineStr">
        <is>
          <t>No</t>
        </is>
      </c>
      <c r="R27" s="16" t="n">
        <v>4733.41</v>
      </c>
      <c r="S27" s="16" t="n">
        <v>3211.96</v>
      </c>
      <c r="T27" s="16" t="n">
        <v>1521.45</v>
      </c>
      <c r="U27" s="17" t="n">
        <v>47.36827357750407</v>
      </c>
      <c r="V27" s="18" t="n">
        <v>0.5309469362917845</v>
      </c>
      <c r="W27" s="15" t="inlineStr">
        <is>
          <t>No</t>
        </is>
      </c>
      <c r="X27" s="15" t="inlineStr"/>
    </row>
    <row r="28">
      <c r="A28" s="14" t="n">
        <v>222478</v>
      </c>
      <c r="B28" s="15" t="inlineStr">
        <is>
          <t>RW-260805-132313</t>
        </is>
      </c>
      <c r="C28" s="15" t="inlineStr">
        <is>
          <t>Yes</t>
        </is>
      </c>
      <c r="D28" s="15" t="inlineStr">
        <is>
          <t>McElroy Contract Packaging, Inc.</t>
        </is>
      </c>
      <c r="E28" s="15" t="inlineStr">
        <is>
          <t>XL Sleeve</t>
        </is>
      </c>
      <c r="F28" s="15" t="inlineStr">
        <is>
          <t>Die Cut</t>
        </is>
      </c>
      <c r="G28" s="14" t="n">
        <v>1462</v>
      </c>
      <c r="H28" s="15" t="inlineStr">
        <is>
          <t>1000-4999</t>
        </is>
      </c>
      <c r="I28" s="15" t="inlineStr">
        <is>
          <t>1462</t>
        </is>
      </c>
      <c r="J28" s="14" t="n">
        <v>1</v>
      </c>
      <c r="K28" s="14" t="n">
        <v>1</v>
      </c>
      <c r="L28" s="15" t="inlineStr">
        <is>
          <t>opt+qty</t>
        </is>
      </c>
      <c r="M28" s="15" t="inlineStr">
        <is>
          <t>Satin</t>
        </is>
      </c>
      <c r="N28" s="15" t="inlineStr">
        <is>
          <t>Print</t>
        </is>
      </c>
      <c r="O28" s="15" t="inlineStr">
        <is>
          <t>Crest</t>
        </is>
      </c>
      <c r="P28" s="15" t="inlineStr">
        <is>
          <t>200 B</t>
        </is>
      </c>
      <c r="Q28" s="15" t="inlineStr">
        <is>
          <t>No</t>
        </is>
      </c>
      <c r="R28" s="16" t="n">
        <v>8429.559999999999</v>
      </c>
      <c r="S28" s="16" t="n">
        <v>7092.15</v>
      </c>
      <c r="T28" s="16" t="n">
        <v>1337.41</v>
      </c>
      <c r="U28" s="17" t="n">
        <v>18.85761017462969</v>
      </c>
      <c r="V28" s="18" t="n">
        <v>-0.08103592279405779</v>
      </c>
      <c r="W28" s="15" t="inlineStr">
        <is>
          <t>No</t>
        </is>
      </c>
      <c r="X28" s="15" t="inlineStr"/>
    </row>
    <row r="29">
      <c r="A29" s="14" t="n">
        <v>222479</v>
      </c>
      <c r="B29" s="15" t="inlineStr">
        <is>
          <t>RW-260805-115250</t>
        </is>
      </c>
      <c r="C29" s="15" t="inlineStr">
        <is>
          <t>Yes</t>
        </is>
      </c>
      <c r="D29" s="15" t="inlineStr">
        <is>
          <t>McElroy Contract Packaging, Inc.</t>
        </is>
      </c>
      <c r="E29" s="15" t="inlineStr">
        <is>
          <t>XXL SLEEVE</t>
        </is>
      </c>
      <c r="F29" s="15" t="inlineStr">
        <is>
          <t>Option 1</t>
        </is>
      </c>
      <c r="G29" s="14" t="n">
        <v>215</v>
      </c>
      <c r="H29" s="15" t="inlineStr">
        <is>
          <t>200-999</t>
        </is>
      </c>
      <c r="I29" s="15" t="inlineStr">
        <is>
          <t>215</t>
        </is>
      </c>
      <c r="J29" s="14" t="n">
        <v>1</v>
      </c>
      <c r="K29" s="14" t="n">
        <v>1</v>
      </c>
      <c r="L29" s="15" t="inlineStr">
        <is>
          <t>opt+qty</t>
        </is>
      </c>
      <c r="M29" s="15" t="inlineStr">
        <is>
          <t>Satin</t>
        </is>
      </c>
      <c r="N29" s="15" t="inlineStr">
        <is>
          <t>Print</t>
        </is>
      </c>
      <c r="O29" s="15" t="inlineStr">
        <is>
          <t>CAD</t>
        </is>
      </c>
      <c r="P29" s="15" t="inlineStr">
        <is>
          <t>ECT 32 B</t>
        </is>
      </c>
      <c r="Q29" s="15" t="inlineStr">
        <is>
          <t>No</t>
        </is>
      </c>
      <c r="R29" s="16" t="n">
        <v>1754.94</v>
      </c>
      <c r="S29" s="16" t="n">
        <v>1371.86</v>
      </c>
      <c r="T29" s="16" t="n">
        <v>383.0800000000002</v>
      </c>
      <c r="U29" s="17" t="n">
        <v>27.92413220007874</v>
      </c>
      <c r="V29" s="18" t="n">
        <v>0.1135774396764793</v>
      </c>
      <c r="W29" s="15" t="inlineStr">
        <is>
          <t>No</t>
        </is>
      </c>
      <c r="X29" s="15" t="inlineStr"/>
    </row>
    <row r="30">
      <c r="A30" s="14" t="n">
        <v>222479</v>
      </c>
      <c r="B30" s="15" t="inlineStr">
        <is>
          <t>RW-260805-115250</t>
        </is>
      </c>
      <c r="C30" s="15" t="inlineStr">
        <is>
          <t>Yes</t>
        </is>
      </c>
      <c r="D30" s="15" t="inlineStr">
        <is>
          <t>McElroy Contract Packaging, Inc.</t>
        </is>
      </c>
      <c r="E30" s="15" t="inlineStr">
        <is>
          <t>XXL SLEEVE</t>
        </is>
      </c>
      <c r="F30" s="15" t="inlineStr">
        <is>
          <t>Option 1</t>
        </is>
      </c>
      <c r="G30" s="14" t="n">
        <v>245</v>
      </c>
      <c r="H30" s="15" t="inlineStr">
        <is>
          <t>200-999</t>
        </is>
      </c>
      <c r="I30" s="15" t="inlineStr">
        <is>
          <t>245</t>
        </is>
      </c>
      <c r="J30" s="14" t="n">
        <v>1</v>
      </c>
      <c r="K30" s="14" t="n">
        <v>1</v>
      </c>
      <c r="L30" s="15" t="inlineStr">
        <is>
          <t>opt+qty</t>
        </is>
      </c>
      <c r="M30" s="15" t="inlineStr">
        <is>
          <t>Satin</t>
        </is>
      </c>
      <c r="N30" s="15" t="inlineStr">
        <is>
          <t>Print</t>
        </is>
      </c>
      <c r="O30" s="15" t="inlineStr">
        <is>
          <t>CAD</t>
        </is>
      </c>
      <c r="P30" s="15" t="inlineStr">
        <is>
          <t>ECT 32 B</t>
        </is>
      </c>
      <c r="Q30" s="15" t="inlineStr">
        <is>
          <t>No</t>
        </is>
      </c>
      <c r="R30" s="16" t="n">
        <v>1952.15</v>
      </c>
      <c r="S30" s="16" t="n">
        <v>1514.44</v>
      </c>
      <c r="T30" s="16" t="n">
        <v>437.71</v>
      </c>
      <c r="U30" s="17" t="n">
        <v>28.90243258234067</v>
      </c>
      <c r="V30" s="18" t="n">
        <v>0.1345767077931612</v>
      </c>
      <c r="W30" s="15" t="inlineStr">
        <is>
          <t>No</t>
        </is>
      </c>
      <c r="X30" s="15" t="inlineStr"/>
    </row>
    <row r="31">
      <c r="A31" s="14" t="n">
        <v>222479</v>
      </c>
      <c r="B31" s="15" t="inlineStr">
        <is>
          <t>RW-260805-115250</t>
        </is>
      </c>
      <c r="C31" s="15" t="inlineStr">
        <is>
          <t>Yes</t>
        </is>
      </c>
      <c r="D31" s="15" t="inlineStr">
        <is>
          <t>McElroy Contract Packaging, Inc.</t>
        </is>
      </c>
      <c r="E31" s="15" t="inlineStr">
        <is>
          <t>XXL SLEEVE</t>
        </is>
      </c>
      <c r="F31" s="15" t="inlineStr">
        <is>
          <t>Option 1</t>
        </is>
      </c>
      <c r="G31" s="14" t="n">
        <v>536</v>
      </c>
      <c r="H31" s="15" t="inlineStr">
        <is>
          <t>200-999</t>
        </is>
      </c>
      <c r="I31" s="15" t="inlineStr">
        <is>
          <t>536</t>
        </is>
      </c>
      <c r="J31" s="14" t="n">
        <v>1</v>
      </c>
      <c r="K31" s="14" t="n">
        <v>1</v>
      </c>
      <c r="L31" s="15" t="inlineStr">
        <is>
          <t>opt+qty</t>
        </is>
      </c>
      <c r="M31" s="15" t="inlineStr">
        <is>
          <t>Satin</t>
        </is>
      </c>
      <c r="N31" s="15" t="inlineStr">
        <is>
          <t>Print</t>
        </is>
      </c>
      <c r="O31" s="15" t="inlineStr">
        <is>
          <t>CAD</t>
        </is>
      </c>
      <c r="P31" s="15" t="inlineStr">
        <is>
          <t>ECT 32 B</t>
        </is>
      </c>
      <c r="Q31" s="15" t="inlineStr">
        <is>
          <t>No</t>
        </is>
      </c>
      <c r="R31" s="16" t="n">
        <v>3417.51</v>
      </c>
      <c r="S31" s="16" t="n">
        <v>2912.31</v>
      </c>
      <c r="T31" s="16" t="n">
        <v>505.2000000000003</v>
      </c>
      <c r="U31" s="17" t="n">
        <v>17.34705440011538</v>
      </c>
      <c r="V31" s="18" t="n">
        <v>-0.1134600803323457</v>
      </c>
      <c r="W31" s="15" t="inlineStr">
        <is>
          <t>No</t>
        </is>
      </c>
      <c r="X31" s="15" t="inlineStr"/>
    </row>
    <row r="32">
      <c r="A32" s="14" t="n">
        <v>222479</v>
      </c>
      <c r="B32" s="15" t="inlineStr">
        <is>
          <t>RW-260805-115250</t>
        </is>
      </c>
      <c r="C32" s="15" t="inlineStr">
        <is>
          <t>Yes</t>
        </is>
      </c>
      <c r="D32" s="15" t="inlineStr">
        <is>
          <t>McElroy Contract Packaging, Inc.</t>
        </is>
      </c>
      <c r="E32" s="15" t="inlineStr">
        <is>
          <t>XXL SLEEVE</t>
        </is>
      </c>
      <c r="F32" s="15" t="inlineStr">
        <is>
          <t>Option 1</t>
        </is>
      </c>
      <c r="G32" s="14" t="n">
        <v>735</v>
      </c>
      <c r="H32" s="15" t="inlineStr">
        <is>
          <t>200-999</t>
        </is>
      </c>
      <c r="I32" s="15" t="inlineStr">
        <is>
          <t>735</t>
        </is>
      </c>
      <c r="J32" s="14" t="n">
        <v>1</v>
      </c>
      <c r="K32" s="14" t="n">
        <v>1</v>
      </c>
      <c r="L32" s="15" t="inlineStr">
        <is>
          <t>opt+qty</t>
        </is>
      </c>
      <c r="M32" s="15" t="inlineStr">
        <is>
          <t>Satin</t>
        </is>
      </c>
      <c r="N32" s="15" t="inlineStr">
        <is>
          <t>Print</t>
        </is>
      </c>
      <c r="O32" s="15" t="inlineStr">
        <is>
          <t>Crest</t>
        </is>
      </c>
      <c r="P32" s="15" t="inlineStr">
        <is>
          <t>ECT 32 B</t>
        </is>
      </c>
      <c r="Q32" s="15" t="inlineStr">
        <is>
          <t>No</t>
        </is>
      </c>
      <c r="R32" s="16" t="n">
        <v>5178.33</v>
      </c>
      <c r="S32" s="16" t="n">
        <v>3843.31</v>
      </c>
      <c r="T32" s="16" t="n">
        <v>1335.02</v>
      </c>
      <c r="U32" s="17" t="n">
        <v>34.73620394920004</v>
      </c>
      <c r="V32" s="18" t="n">
        <v>0.2597989107947155</v>
      </c>
      <c r="W32" s="15" t="inlineStr">
        <is>
          <t>No</t>
        </is>
      </c>
      <c r="X32" s="15" t="inlineStr"/>
    </row>
    <row r="33">
      <c r="A33" s="14" t="n">
        <v>222490</v>
      </c>
      <c r="B33" s="15" t="inlineStr">
        <is>
          <t>RW-260806-100307</t>
        </is>
      </c>
      <c r="C33" s="15" t="inlineStr">
        <is>
          <t>Yes</t>
        </is>
      </c>
      <c r="D33" s="15" t="inlineStr">
        <is>
          <t>Skybox Packaging, LLC</t>
        </is>
      </c>
      <c r="E33" s="15" t="inlineStr">
        <is>
          <t xml:space="preserve">MTD Case#9360 </t>
        </is>
      </c>
      <c r="F33" s="15" t="inlineStr">
        <is>
          <t>CAD Cut</t>
        </is>
      </c>
      <c r="G33" s="14" t="n">
        <v>500</v>
      </c>
      <c r="H33" s="15" t="inlineStr">
        <is>
          <t>200-999</t>
        </is>
      </c>
      <c r="I33" s="15" t="inlineStr">
        <is>
          <t>500</t>
        </is>
      </c>
      <c r="J33" s="14" t="n">
        <v>1</v>
      </c>
      <c r="K33" s="14" t="n">
        <v>1</v>
      </c>
      <c r="L33" s="15" t="inlineStr">
        <is>
          <t>opt+qty</t>
        </is>
      </c>
      <c r="M33" s="15" t="inlineStr">
        <is>
          <t>Gloss</t>
        </is>
      </c>
      <c r="N33" s="15" t="inlineStr">
        <is>
          <t>Print</t>
        </is>
      </c>
      <c r="O33" s="15" t="inlineStr">
        <is>
          <t>CAD</t>
        </is>
      </c>
      <c r="P33" s="15" t="inlineStr">
        <is>
          <t>ECT 51 B/C</t>
        </is>
      </c>
      <c r="Q33" s="15" t="inlineStr">
        <is>
          <t>No</t>
        </is>
      </c>
      <c r="R33" s="16" t="n">
        <v>4563.63</v>
      </c>
      <c r="S33" s="16" t="n">
        <v>4315.72</v>
      </c>
      <c r="T33" s="16" t="n">
        <v>247.9099999999999</v>
      </c>
      <c r="U33" s="17" t="n">
        <v>5.744348567562303</v>
      </c>
      <c r="V33" s="18" t="n">
        <v>-0.3625127589109136</v>
      </c>
      <c r="W33" s="15" t="inlineStr">
        <is>
          <t>No</t>
        </is>
      </c>
      <c r="X33" s="15" t="inlineStr"/>
    </row>
    <row r="34">
      <c r="A34" s="14" t="n">
        <v>222493</v>
      </c>
      <c r="B34" s="15" t="inlineStr">
        <is>
          <t>RW-260806-104054</t>
        </is>
      </c>
      <c r="C34" s="15" t="inlineStr">
        <is>
          <t>Yes</t>
        </is>
      </c>
      <c r="D34" s="15" t="inlineStr">
        <is>
          <t>Abracadabra Experiences, LLC</t>
        </is>
      </c>
      <c r="E34" s="15" t="inlineStr">
        <is>
          <t>Disney Registration Box</t>
        </is>
      </c>
      <c r="F34" s="15" t="inlineStr">
        <is>
          <t>Welcome Back Boxes|Welcome Boxes</t>
        </is>
      </c>
      <c r="G34" s="14" t="n">
        <v>106</v>
      </c>
      <c r="H34" s="15" t="inlineStr">
        <is>
          <t>50-199</t>
        </is>
      </c>
      <c r="I34" s="15" t="inlineStr">
        <is>
          <t>82-106</t>
        </is>
      </c>
      <c r="J34" s="14" t="n">
        <v>2</v>
      </c>
      <c r="K34" s="14" t="n">
        <v>2</v>
      </c>
      <c r="L34" s="15" t="inlineStr">
        <is>
          <t>qty-only</t>
        </is>
      </c>
      <c r="M34" s="15" t="inlineStr">
        <is>
          <t>Gloss/Satin</t>
        </is>
      </c>
      <c r="N34" s="15" t="inlineStr">
        <is>
          <t>Print</t>
        </is>
      </c>
      <c r="O34" s="15" t="inlineStr">
        <is>
          <t>CAD</t>
        </is>
      </c>
      <c r="P34" s="15" t="inlineStr">
        <is>
          <t>200 B</t>
        </is>
      </c>
      <c r="Q34" s="15" t="inlineStr">
        <is>
          <t>No</t>
        </is>
      </c>
      <c r="R34" s="16" t="n">
        <v>2489.72</v>
      </c>
      <c r="S34" s="16" t="n">
        <v>2772.59</v>
      </c>
      <c r="T34" s="16" t="n">
        <v>-282.8700000000003</v>
      </c>
      <c r="U34" s="17" t="n">
        <v>-10.20237395359575</v>
      </c>
      <c r="V34" s="18" t="n">
        <v>-0.7048099795558391</v>
      </c>
      <c r="W34" s="15" t="inlineStr">
        <is>
          <t>No</t>
        </is>
      </c>
      <c r="X34" s="15" t="inlineStr"/>
    </row>
    <row r="35">
      <c r="A35" s="14" t="n">
        <v>222515</v>
      </c>
      <c r="B35" s="15" t="inlineStr">
        <is>
          <t>RW-260806-104713</t>
        </is>
      </c>
      <c r="C35" s="15" t="inlineStr">
        <is>
          <t>Yes</t>
        </is>
      </c>
      <c r="D35" s="15" t="inlineStr">
        <is>
          <t>Weber Display &amp; Packaging</t>
        </is>
      </c>
      <c r="E35" s="15" t="inlineStr">
        <is>
          <t>36ct Tray Stack Floorstand - Riser</t>
        </is>
      </c>
      <c r="F35" s="15" t="inlineStr">
        <is>
          <t>Option 1</t>
        </is>
      </c>
      <c r="G35" s="14" t="n">
        <v>2000</v>
      </c>
      <c r="H35" s="15" t="inlineStr">
        <is>
          <t>1000-4999</t>
        </is>
      </c>
      <c r="I35" s="15" t="inlineStr">
        <is>
          <t>2000</t>
        </is>
      </c>
      <c r="J35" s="14" t="n">
        <v>1</v>
      </c>
      <c r="K35" s="14" t="n">
        <v>1</v>
      </c>
      <c r="L35" s="15" t="inlineStr">
        <is>
          <t>opt+qty</t>
        </is>
      </c>
      <c r="M35" s="15" t="inlineStr">
        <is>
          <t>Gloss</t>
        </is>
      </c>
      <c r="N35" s="15" t="inlineStr">
        <is>
          <t>Print</t>
        </is>
      </c>
      <c r="O35" s="15" t="inlineStr">
        <is>
          <t>CAD</t>
        </is>
      </c>
      <c r="P35" s="15" t="inlineStr">
        <is>
          <t>ECT 32 B</t>
        </is>
      </c>
      <c r="Q35" s="15" t="inlineStr">
        <is>
          <t>No</t>
        </is>
      </c>
      <c r="R35" s="16" t="n">
        <v>3032.3</v>
      </c>
      <c r="S35" s="16" t="n">
        <v>3113.31</v>
      </c>
      <c r="T35" s="16" t="n">
        <v>-81.00999999999976</v>
      </c>
      <c r="U35" s="17" t="n">
        <v>-2.602053762715559</v>
      </c>
      <c r="V35" s="18" t="n">
        <v>-0.5416687150171199</v>
      </c>
      <c r="W35" s="15" t="inlineStr">
        <is>
          <t>No</t>
        </is>
      </c>
      <c r="X35" s="15" t="inlineStr"/>
    </row>
    <row r="36">
      <c r="A36" s="14" t="n">
        <v>222548</v>
      </c>
      <c r="B36" s="15" t="inlineStr">
        <is>
          <t>RW-260806-110857</t>
        </is>
      </c>
      <c r="C36" s="15" t="inlineStr">
        <is>
          <t>Yes</t>
        </is>
      </c>
      <c r="D36" s="15" t="inlineStr">
        <is>
          <t>PCA Pennsylvania Acquisition Corporation</t>
        </is>
      </c>
      <c r="E36" s="15" t="inlineStr">
        <is>
          <t>L'Oreal C14 26 LP Infallible Story 24 CU</t>
        </is>
      </c>
      <c r="F36" s="15" t="inlineStr">
        <is>
          <t>CAD Cut</t>
        </is>
      </c>
      <c r="G36" s="14" t="n">
        <v>51</v>
      </c>
      <c r="H36" s="15" t="inlineStr">
        <is>
          <t>50-199</t>
        </is>
      </c>
      <c r="I36" s="15" t="inlineStr">
        <is>
          <t>51</t>
        </is>
      </c>
      <c r="J36" s="14" t="n">
        <v>1</v>
      </c>
      <c r="K36" s="14" t="n">
        <v>1</v>
      </c>
      <c r="L36" s="15" t="inlineStr">
        <is>
          <t>opt+qty</t>
        </is>
      </c>
      <c r="M36" s="15" t="inlineStr">
        <is>
          <t>Gloss</t>
        </is>
      </c>
      <c r="N36" s="15" t="inlineStr">
        <is>
          <t>Print</t>
        </is>
      </c>
      <c r="O36" s="15" t="inlineStr">
        <is>
          <t>CAD</t>
        </is>
      </c>
      <c r="P36" s="15" t="inlineStr">
        <is>
          <t>200 E</t>
        </is>
      </c>
      <c r="Q36" s="15" t="inlineStr">
        <is>
          <t>No</t>
        </is>
      </c>
      <c r="R36" s="16" t="n">
        <v>1083.56</v>
      </c>
      <c r="S36" s="16" t="n">
        <v>1044.36</v>
      </c>
      <c r="T36" s="16" t="n">
        <v>39.20000000000005</v>
      </c>
      <c r="U36" s="17" t="n">
        <v>3.753494963422579</v>
      </c>
      <c r="V36" s="18" t="n">
        <v>-0.4052465341116671</v>
      </c>
      <c r="W36" s="15" t="inlineStr">
        <is>
          <t>No</t>
        </is>
      </c>
      <c r="X36" s="15" t="inlineStr"/>
    </row>
    <row r="37">
      <c r="A37" s="14" t="n">
        <v>222557</v>
      </c>
      <c r="B37" s="15" t="inlineStr">
        <is>
          <t>RW-260806-111429</t>
        </is>
      </c>
      <c r="C37" s="15" t="inlineStr">
        <is>
          <t>Yes</t>
        </is>
      </c>
      <c r="D37" s="15" t="inlineStr">
        <is>
          <t>Pax Corrugated - an affiliate of Welch Packaging</t>
        </is>
      </c>
      <c r="E37" s="15" t="inlineStr">
        <is>
          <t>Kroger Corn Display - Rework</t>
        </is>
      </c>
      <c r="F37" s="15" t="inlineStr">
        <is>
          <t>CAD Cut</t>
        </is>
      </c>
      <c r="G37" s="14" t="n">
        <v>250</v>
      </c>
      <c r="H37" s="15" t="inlineStr">
        <is>
          <t>200-999</t>
        </is>
      </c>
      <c r="I37" s="15" t="inlineStr">
        <is>
          <t>250</t>
        </is>
      </c>
      <c r="J37" s="14" t="n">
        <v>1</v>
      </c>
      <c r="K37" s="14" t="n">
        <v>1</v>
      </c>
      <c r="L37" s="15" t="inlineStr">
        <is>
          <t>opt+qty</t>
        </is>
      </c>
      <c r="M37" s="15" t="inlineStr">
        <is>
          <t>Gloss</t>
        </is>
      </c>
      <c r="N37" s="15" t="inlineStr">
        <is>
          <t>Print</t>
        </is>
      </c>
      <c r="O37" s="15" t="inlineStr">
        <is>
          <t>Crest</t>
        </is>
      </c>
      <c r="P37" s="15" t="inlineStr">
        <is>
          <t>ECT 44 C</t>
        </is>
      </c>
      <c r="Q37" s="15" t="inlineStr">
        <is>
          <t>No</t>
        </is>
      </c>
      <c r="R37" s="16" t="n">
        <v>7584.64</v>
      </c>
      <c r="S37" s="16" t="n">
        <v>6583.54</v>
      </c>
      <c r="T37" s="16" t="n">
        <v>1001.1</v>
      </c>
      <c r="U37" s="17" t="n">
        <v>15.20610492227586</v>
      </c>
      <c r="V37" s="18" t="n">
        <v>-0.1594156711964459</v>
      </c>
      <c r="W37" s="15" t="inlineStr">
        <is>
          <t>No</t>
        </is>
      </c>
      <c r="X37" s="15" t="inlineStr"/>
    </row>
    <row r="38">
      <c r="A38" s="14" t="n">
        <v>222657</v>
      </c>
      <c r="B38" s="15" t="inlineStr">
        <is>
          <t>RW-260806-113829</t>
        </is>
      </c>
      <c r="C38" s="15" t="inlineStr">
        <is>
          <t>Yes</t>
        </is>
      </c>
      <c r="D38" s="15" t="inlineStr">
        <is>
          <t>PCA - Ashland</t>
        </is>
      </c>
      <c r="E38" s="15" t="inlineStr">
        <is>
          <t>Costco Pretty Litter 8 lb 2pk Club Pack</t>
        </is>
      </c>
      <c r="F38" s="15" t="inlineStr">
        <is>
          <t>Option 1</t>
        </is>
      </c>
      <c r="G38" s="14" t="n">
        <v>60</v>
      </c>
      <c r="H38" s="15" t="inlineStr">
        <is>
          <t>50-199</t>
        </is>
      </c>
      <c r="I38" s="15" t="inlineStr">
        <is>
          <t>60</t>
        </is>
      </c>
      <c r="J38" s="14" t="n">
        <v>1</v>
      </c>
      <c r="K38" s="14" t="n">
        <v>1</v>
      </c>
      <c r="L38" s="15" t="inlineStr">
        <is>
          <t>opt+qty</t>
        </is>
      </c>
      <c r="M38" s="15" t="inlineStr">
        <is>
          <t>Gloss</t>
        </is>
      </c>
      <c r="N38" s="15" t="inlineStr">
        <is>
          <t>Print</t>
        </is>
      </c>
      <c r="O38" s="15" t="inlineStr">
        <is>
          <t>CAD</t>
        </is>
      </c>
      <c r="P38" s="15" t="inlineStr">
        <is>
          <t>250 C</t>
        </is>
      </c>
      <c r="Q38" s="15" t="inlineStr">
        <is>
          <t>No</t>
        </is>
      </c>
      <c r="R38" s="16" t="n">
        <v>1035.87</v>
      </c>
      <c r="S38" s="16" t="n">
        <v>720.4299999999999</v>
      </c>
      <c r="T38" s="16" t="n">
        <v>315.4399999999999</v>
      </c>
      <c r="U38" s="17" t="n">
        <v>43.78496175894951</v>
      </c>
      <c r="V38" s="18" t="n">
        <v>0.4540309634598781</v>
      </c>
      <c r="W38" s="15" t="inlineStr">
        <is>
          <t>No</t>
        </is>
      </c>
      <c r="X38" s="15" t="inlineStr"/>
    </row>
    <row r="39">
      <c r="A39" s="14" t="n">
        <v>222718</v>
      </c>
      <c r="B39" s="15" t="inlineStr">
        <is>
          <t>RW-260806-114526</t>
        </is>
      </c>
      <c r="C39" s="15" t="inlineStr">
        <is>
          <t>Yes</t>
        </is>
      </c>
      <c r="D39" s="15" t="inlineStr">
        <is>
          <t>Skybox Packaging, LLC</t>
        </is>
      </c>
      <c r="E39" s="15" t="inlineStr">
        <is>
          <t>Quote #10732 — new print, same structure as Quote #215110</t>
        </is>
      </c>
      <c r="F39" s="15" t="inlineStr">
        <is>
          <t>Option 1</t>
        </is>
      </c>
      <c r="G39" s="14" t="n">
        <v>500</v>
      </c>
      <c r="H39" s="15" t="inlineStr">
        <is>
          <t>200-999</t>
        </is>
      </c>
      <c r="I39" s="15" t="inlineStr">
        <is>
          <t>500</t>
        </is>
      </c>
      <c r="J39" s="14" t="n">
        <v>1</v>
      </c>
      <c r="K39" s="14" t="n">
        <v>1</v>
      </c>
      <c r="L39" s="15" t="inlineStr">
        <is>
          <t>opt+qty</t>
        </is>
      </c>
      <c r="M39" s="15" t="inlineStr">
        <is>
          <t>Satin</t>
        </is>
      </c>
      <c r="N39" s="15" t="inlineStr">
        <is>
          <t>Print</t>
        </is>
      </c>
      <c r="O39" s="15" t="inlineStr">
        <is>
          <t>CAD</t>
        </is>
      </c>
      <c r="P39" s="15" t="inlineStr">
        <is>
          <t>ECT 32 B</t>
        </is>
      </c>
      <c r="Q39" s="15" t="inlineStr">
        <is>
          <t>No</t>
        </is>
      </c>
      <c r="R39" s="16" t="n">
        <v>1259.41</v>
      </c>
      <c r="S39" s="16" t="n">
        <v>971.17</v>
      </c>
      <c r="T39" s="16" t="n">
        <v>288.2400000000001</v>
      </c>
      <c r="U39" s="17" t="n">
        <v>29.67966473428958</v>
      </c>
      <c r="V39" s="18" t="n">
        <v>0.1512600359852083</v>
      </c>
      <c r="W39" s="15" t="inlineStr">
        <is>
          <t>No</t>
        </is>
      </c>
      <c r="X39" s="15" t="inlineStr"/>
    </row>
    <row r="40">
      <c r="A40" s="14" t="n">
        <v>222738</v>
      </c>
      <c r="B40" s="15" t="inlineStr">
        <is>
          <t>RW-260806-130832</t>
        </is>
      </c>
      <c r="C40" s="15" t="inlineStr">
        <is>
          <t>Yes</t>
        </is>
      </c>
      <c r="D40" s="15" t="inlineStr">
        <is>
          <t>Apex Display Group</t>
        </is>
      </c>
      <c r="E40" s="15" t="inlineStr">
        <is>
          <t>6 Can Mailer</t>
        </is>
      </c>
      <c r="F40" s="15" t="inlineStr">
        <is>
          <t>CAD Cut All</t>
        </is>
      </c>
      <c r="G40" s="14" t="n">
        <v>50</v>
      </c>
      <c r="H40" s="15" t="inlineStr">
        <is>
          <t>50-199</t>
        </is>
      </c>
      <c r="I40" s="15" t="inlineStr">
        <is>
          <t>50</t>
        </is>
      </c>
      <c r="J40" s="14" t="n">
        <v>2</v>
      </c>
      <c r="K40" s="14" t="n">
        <v>2</v>
      </c>
      <c r="L40" s="15" t="inlineStr">
        <is>
          <t>opt+qty</t>
        </is>
      </c>
      <c r="M40" s="15" t="inlineStr">
        <is>
          <t>Gloss</t>
        </is>
      </c>
      <c r="N40" s="15" t="inlineStr">
        <is>
          <t>Print</t>
        </is>
      </c>
      <c r="O40" s="15" t="inlineStr">
        <is>
          <t>CAD</t>
        </is>
      </c>
      <c r="P40" s="15" t="inlineStr">
        <is>
          <t>200 E</t>
        </is>
      </c>
      <c r="Q40" s="15" t="inlineStr">
        <is>
          <t>No</t>
        </is>
      </c>
      <c r="R40" s="16" t="n">
        <v>2015.65</v>
      </c>
      <c r="S40" s="16" t="n">
        <v>2360.37</v>
      </c>
      <c r="T40" s="16" t="n">
        <v>-344.7199999999998</v>
      </c>
      <c r="U40" s="17" t="n">
        <v>-14.60448997402949</v>
      </c>
      <c r="V40" s="18" t="n">
        <v>-0.7993016267737368</v>
      </c>
      <c r="W40" s="15" t="inlineStr">
        <is>
          <t>No</t>
        </is>
      </c>
      <c r="X40" s="15" t="inlineStr"/>
    </row>
    <row r="41">
      <c r="A41" s="14" t="n">
        <v>222738</v>
      </c>
      <c r="B41" s="15" t="inlineStr">
        <is>
          <t>RW-260806-130832</t>
        </is>
      </c>
      <c r="C41" s="15" t="inlineStr">
        <is>
          <t>Yes</t>
        </is>
      </c>
      <c r="D41" s="15" t="inlineStr">
        <is>
          <t>Apex Display Group</t>
        </is>
      </c>
      <c r="E41" s="15" t="inlineStr">
        <is>
          <t>6 Can Mailer</t>
        </is>
      </c>
      <c r="F41" s="15" t="inlineStr">
        <is>
          <t>CAD Cut All</t>
        </is>
      </c>
      <c r="G41" s="14" t="n">
        <v>100</v>
      </c>
      <c r="H41" s="15" t="inlineStr">
        <is>
          <t>50-199</t>
        </is>
      </c>
      <c r="I41" s="15" t="inlineStr">
        <is>
          <t>100</t>
        </is>
      </c>
      <c r="J41" s="14" t="n">
        <v>2</v>
      </c>
      <c r="K41" s="14" t="n">
        <v>2</v>
      </c>
      <c r="L41" s="15" t="inlineStr">
        <is>
          <t>opt+qty</t>
        </is>
      </c>
      <c r="M41" s="15" t="inlineStr">
        <is>
          <t>Gloss</t>
        </is>
      </c>
      <c r="N41" s="15" t="inlineStr">
        <is>
          <t>Print</t>
        </is>
      </c>
      <c r="O41" s="15" t="inlineStr">
        <is>
          <t>CAD</t>
        </is>
      </c>
      <c r="P41" s="15" t="inlineStr">
        <is>
          <t>200 E</t>
        </is>
      </c>
      <c r="Q41" s="15" t="inlineStr">
        <is>
          <t>No</t>
        </is>
      </c>
      <c r="R41" s="16" t="n">
        <v>2798.53</v>
      </c>
      <c r="S41" s="16" t="n">
        <v>3669.96</v>
      </c>
      <c r="T41" s="16" t="n">
        <v>-871.4299999999998</v>
      </c>
      <c r="U41" s="17" t="n">
        <v>-23.74494544899672</v>
      </c>
      <c r="V41" s="18" t="n">
        <v>-0.995501974547943</v>
      </c>
      <c r="W41" s="15" t="inlineStr">
        <is>
          <t>No</t>
        </is>
      </c>
      <c r="X41" s="15" t="inlineStr"/>
    </row>
    <row r="42">
      <c r="A42" s="14" t="n">
        <v>222738</v>
      </c>
      <c r="B42" s="15" t="inlineStr">
        <is>
          <t>RW-260806-130832</t>
        </is>
      </c>
      <c r="C42" s="15" t="inlineStr">
        <is>
          <t>Yes</t>
        </is>
      </c>
      <c r="D42" s="15" t="inlineStr">
        <is>
          <t>Apex Display Group</t>
        </is>
      </c>
      <c r="E42" s="15" t="inlineStr">
        <is>
          <t>6 Can Mailer</t>
        </is>
      </c>
      <c r="F42" s="15" t="inlineStr">
        <is>
          <t>CAD Cut All</t>
        </is>
      </c>
      <c r="G42" s="14" t="n">
        <v>150</v>
      </c>
      <c r="H42" s="15" t="inlineStr">
        <is>
          <t>50-199</t>
        </is>
      </c>
      <c r="I42" s="15" t="inlineStr">
        <is>
          <t>150</t>
        </is>
      </c>
      <c r="J42" s="14" t="n">
        <v>2</v>
      </c>
      <c r="K42" s="14" t="n">
        <v>2</v>
      </c>
      <c r="L42" s="15" t="inlineStr">
        <is>
          <t>opt+qty</t>
        </is>
      </c>
      <c r="M42" s="15" t="inlineStr">
        <is>
          <t>Gloss</t>
        </is>
      </c>
      <c r="N42" s="15" t="inlineStr">
        <is>
          <t>Print</t>
        </is>
      </c>
      <c r="O42" s="15" t="inlineStr">
        <is>
          <t>CAD</t>
        </is>
      </c>
      <c r="P42" s="15" t="inlineStr">
        <is>
          <t>200 E</t>
        </is>
      </c>
      <c r="Q42" s="15" t="inlineStr">
        <is>
          <t>No</t>
        </is>
      </c>
      <c r="R42" s="16" t="n">
        <v>3168.22</v>
      </c>
      <c r="S42" s="16" t="n">
        <v>5233.87</v>
      </c>
      <c r="T42" s="16" t="n">
        <v>-2065.65</v>
      </c>
      <c r="U42" s="17" t="n">
        <v>-39.46697185829989</v>
      </c>
      <c r="V42" s="18" t="n">
        <v>-1.332976081573402</v>
      </c>
      <c r="W42" s="15" t="inlineStr">
        <is>
          <t>No</t>
        </is>
      </c>
      <c r="X42" s="15" t="inlineStr"/>
    </row>
    <row r="43">
      <c r="A43" s="14" t="n">
        <v>222738</v>
      </c>
      <c r="B43" s="15" t="inlineStr">
        <is>
          <t>RW-260806-130832</t>
        </is>
      </c>
      <c r="C43" s="15" t="inlineStr">
        <is>
          <t>Yes</t>
        </is>
      </c>
      <c r="D43" s="15" t="inlineStr">
        <is>
          <t>Apex Display Group</t>
        </is>
      </c>
      <c r="E43" s="15" t="inlineStr">
        <is>
          <t>6 Can Mailer</t>
        </is>
      </c>
      <c r="F43" s="15" t="inlineStr">
        <is>
          <t>CAD Cut All</t>
        </is>
      </c>
      <c r="G43" s="14" t="n">
        <v>250</v>
      </c>
      <c r="H43" s="15" t="inlineStr">
        <is>
          <t>200-999</t>
        </is>
      </c>
      <c r="I43" s="15" t="inlineStr">
        <is>
          <t>250</t>
        </is>
      </c>
      <c r="J43" s="14" t="n">
        <v>2</v>
      </c>
      <c r="K43" s="14" t="n">
        <v>2</v>
      </c>
      <c r="L43" s="15" t="inlineStr">
        <is>
          <t>opt+qty</t>
        </is>
      </c>
      <c r="M43" s="15" t="inlineStr">
        <is>
          <t>Gloss</t>
        </is>
      </c>
      <c r="N43" s="15" t="inlineStr">
        <is>
          <t>Print</t>
        </is>
      </c>
      <c r="O43" s="15" t="inlineStr">
        <is>
          <t>CAD</t>
        </is>
      </c>
      <c r="P43" s="15" t="inlineStr">
        <is>
          <t>200 E</t>
        </is>
      </c>
      <c r="Q43" s="15" t="inlineStr">
        <is>
          <t>No</t>
        </is>
      </c>
      <c r="R43" s="16" t="n">
        <v>4239.88</v>
      </c>
      <c r="S43" s="16" t="n">
        <v>7999.01</v>
      </c>
      <c r="T43" s="16" t="n">
        <v>-3759.13</v>
      </c>
      <c r="U43" s="17" t="n">
        <v>-46.99494062390221</v>
      </c>
      <c r="V43" s="18" t="n">
        <v>-1.494564319040292</v>
      </c>
      <c r="W43" s="15" t="inlineStr">
        <is>
          <t>No</t>
        </is>
      </c>
      <c r="X43" s="15" t="inlineStr"/>
    </row>
    <row r="44">
      <c r="A44" s="14" t="n">
        <v>222762</v>
      </c>
      <c r="B44" s="15" t="inlineStr">
        <is>
          <t>RW-260806-132503</t>
        </is>
      </c>
      <c r="C44" s="15" t="inlineStr">
        <is>
          <t>Yes</t>
        </is>
      </c>
      <c r="D44" s="15" t="inlineStr">
        <is>
          <t>PCA - Mooresville, NC</t>
        </is>
      </c>
      <c r="E44" s="15" t="inlineStr">
        <is>
          <t>Hunger Box</t>
        </is>
      </c>
      <c r="F44" s="15" t="inlineStr"/>
      <c r="G44" s="14" t="n">
        <v>100</v>
      </c>
      <c r="H44" s="15" t="inlineStr">
        <is>
          <t>50-199</t>
        </is>
      </c>
      <c r="I44" s="15" t="inlineStr">
        <is>
          <t>100</t>
        </is>
      </c>
      <c r="J44" s="14" t="n">
        <v>1</v>
      </c>
      <c r="K44" s="14" t="n">
        <v>1</v>
      </c>
      <c r="L44" s="15" t="inlineStr">
        <is>
          <t>qty-only</t>
        </is>
      </c>
      <c r="M44" s="15" t="inlineStr">
        <is>
          <t>Gloss</t>
        </is>
      </c>
      <c r="N44" s="15" t="inlineStr">
        <is>
          <t>Print</t>
        </is>
      </c>
      <c r="O44" s="15" t="inlineStr">
        <is>
          <t>CAD</t>
        </is>
      </c>
      <c r="P44" s="15" t="inlineStr">
        <is>
          <t>200 B</t>
        </is>
      </c>
      <c r="Q44" s="15" t="inlineStr">
        <is>
          <t>No</t>
        </is>
      </c>
      <c r="R44" s="16" t="n">
        <v>935.24</v>
      </c>
      <c r="S44" s="16" t="n">
        <v>598.04</v>
      </c>
      <c r="T44" s="16" t="n">
        <v>337.2</v>
      </c>
      <c r="U44" s="17" t="n">
        <v>56.38418834860546</v>
      </c>
      <c r="V44" s="18" t="n">
        <v>0.7244740114399774</v>
      </c>
      <c r="W44" s="15" t="inlineStr">
        <is>
          <t>No</t>
        </is>
      </c>
      <c r="X44" s="15" t="inlineStr"/>
    </row>
    <row r="45">
      <c r="A45" s="14" t="n">
        <v>222769</v>
      </c>
      <c r="B45" s="15" t="inlineStr">
        <is>
          <t>RW-260806-132924</t>
        </is>
      </c>
      <c r="C45" s="15" t="inlineStr">
        <is>
          <t>Yes</t>
        </is>
      </c>
      <c r="D45" s="15" t="inlineStr">
        <is>
          <t>PCA - Akron</t>
        </is>
      </c>
      <c r="E45" s="15" t="inlineStr">
        <is>
          <t>Ridge Tool</t>
        </is>
      </c>
      <c r="F45" s="15" t="inlineStr"/>
      <c r="G45" s="14" t="n">
        <v>20</v>
      </c>
      <c r="H45" s="15" t="inlineStr">
        <is>
          <t>1-49</t>
        </is>
      </c>
      <c r="I45" s="15" t="inlineStr">
        <is>
          <t>20</t>
        </is>
      </c>
      <c r="J45" s="14" t="n">
        <v>1</v>
      </c>
      <c r="K45" s="14" t="n">
        <v>1</v>
      </c>
      <c r="L45" s="15" t="inlineStr">
        <is>
          <t>qty-only</t>
        </is>
      </c>
      <c r="M45" s="15" t="inlineStr">
        <is>
          <t>Gloss</t>
        </is>
      </c>
      <c r="N45" s="15" t="inlineStr">
        <is>
          <t>Print</t>
        </is>
      </c>
      <c r="O45" s="15" t="inlineStr">
        <is>
          <t>CAD</t>
        </is>
      </c>
      <c r="P45" s="15" t="inlineStr">
        <is>
          <t>275 DW B/C</t>
        </is>
      </c>
      <c r="Q45" s="15" t="inlineStr">
        <is>
          <t>No</t>
        </is>
      </c>
      <c r="R45" s="16" t="n">
        <v>899.76</v>
      </c>
      <c r="S45" s="16" t="n">
        <v>573.36</v>
      </c>
      <c r="T45" s="16" t="n">
        <v>326.4</v>
      </c>
      <c r="U45" s="17" t="n">
        <v>56.92758476349936</v>
      </c>
      <c r="V45" s="18" t="n">
        <v>0.7361380434866761</v>
      </c>
      <c r="W45" s="15" t="inlineStr">
        <is>
          <t>No</t>
        </is>
      </c>
      <c r="X45" s="15" t="inlineStr"/>
    </row>
    <row r="46">
      <c r="A46" s="14" t="n">
        <v>222777</v>
      </c>
      <c r="B46" s="15" t="inlineStr">
        <is>
          <t>RW-260806-134431</t>
        </is>
      </c>
      <c r="C46" s="15" t="inlineStr">
        <is>
          <t>Yes</t>
        </is>
      </c>
      <c r="D46" s="15" t="inlineStr">
        <is>
          <t>Apex Display Group</t>
        </is>
      </c>
      <c r="E46" s="15" t="inlineStr">
        <is>
          <t>1528-31 4 Shelf Hutch Clipped Mockup</t>
        </is>
      </c>
      <c r="F46" s="15" t="inlineStr">
        <is>
          <t>Option 1</t>
        </is>
      </c>
      <c r="G46" s="14" t="n">
        <v>2</v>
      </c>
      <c r="H46" s="15" t="inlineStr">
        <is>
          <t>1-49</t>
        </is>
      </c>
      <c r="I46" s="15" t="inlineStr">
        <is>
          <t>2</t>
        </is>
      </c>
      <c r="J46" s="14" t="n">
        <v>7</v>
      </c>
      <c r="K46" s="14" t="n">
        <v>7</v>
      </c>
      <c r="L46" s="15" t="inlineStr">
        <is>
          <t>opt+qty</t>
        </is>
      </c>
      <c r="M46" s="15" t="inlineStr">
        <is>
          <t>Gloss/Satin</t>
        </is>
      </c>
      <c r="N46" s="15" t="inlineStr">
        <is>
          <t>Print</t>
        </is>
      </c>
      <c r="O46" s="15" t="inlineStr">
        <is>
          <t>CAD</t>
        </is>
      </c>
      <c r="P46" s="15" t="inlineStr">
        <is>
          <t>ECT 32 B</t>
        </is>
      </c>
      <c r="Q46" s="15" t="inlineStr">
        <is>
          <t>No</t>
        </is>
      </c>
      <c r="R46" s="16" t="n">
        <v>2246.62</v>
      </c>
      <c r="S46" s="16" t="n">
        <v>1673.15</v>
      </c>
      <c r="T46" s="16" t="n">
        <v>573.4699999999998</v>
      </c>
      <c r="U46" s="17" t="n">
        <v>34.2748707527717</v>
      </c>
      <c r="V46" s="18" t="n">
        <v>0.2498963699610652</v>
      </c>
      <c r="W46" s="15" t="inlineStr">
        <is>
          <t>No</t>
        </is>
      </c>
      <c r="X46" s="15" t="inlineStr"/>
    </row>
    <row r="47">
      <c r="A47" s="14" t="n">
        <v>222800</v>
      </c>
      <c r="B47" s="15" t="inlineStr">
        <is>
          <t>RW-260806-155021</t>
        </is>
      </c>
      <c r="C47" s="15" t="inlineStr">
        <is>
          <t>Yes</t>
        </is>
      </c>
      <c r="D47" s="15" t="inlineStr">
        <is>
          <t>Lynk Packaging</t>
        </is>
      </c>
      <c r="E47" s="15" t="inlineStr">
        <is>
          <t>BJ Sedona 19in Planter 2-Pack-Pallet Wrap</t>
        </is>
      </c>
      <c r="F47" s="15" t="inlineStr">
        <is>
          <t>Option 1</t>
        </is>
      </c>
      <c r="G47" s="14" t="n">
        <v>50</v>
      </c>
      <c r="H47" s="15" t="inlineStr">
        <is>
          <t>50-199</t>
        </is>
      </c>
      <c r="I47" s="15" t="inlineStr">
        <is>
          <t>50</t>
        </is>
      </c>
      <c r="J47" s="14" t="n">
        <v>1</v>
      </c>
      <c r="K47" s="14" t="n">
        <v>1</v>
      </c>
      <c r="L47" s="15" t="inlineStr">
        <is>
          <t>opt+qty</t>
        </is>
      </c>
      <c r="M47" s="15" t="inlineStr">
        <is>
          <t>Satin</t>
        </is>
      </c>
      <c r="N47" s="15" t="inlineStr">
        <is>
          <t>Print</t>
        </is>
      </c>
      <c r="O47" s="15" t="inlineStr">
        <is>
          <t>CAD</t>
        </is>
      </c>
      <c r="P47" s="15" t="inlineStr">
        <is>
          <t>ECT 32 C</t>
        </is>
      </c>
      <c r="Q47" s="15" t="inlineStr">
        <is>
          <t>No</t>
        </is>
      </c>
      <c r="R47" s="16" t="n">
        <v>1104.99</v>
      </c>
      <c r="S47" s="16" t="n">
        <v>613.13</v>
      </c>
      <c r="T47" s="16" t="n">
        <v>491.86</v>
      </c>
      <c r="U47" s="17" t="n">
        <v>80.22116027596105</v>
      </c>
      <c r="V47" s="18" t="n">
        <v>1.236135842170347</v>
      </c>
      <c r="W47" s="15" t="inlineStr">
        <is>
          <t>No</t>
        </is>
      </c>
      <c r="X47" s="15" t="inlineStr"/>
    </row>
    <row r="48">
      <c r="A48" s="14" t="n">
        <v>222809</v>
      </c>
      <c r="B48" s="15" t="inlineStr">
        <is>
          <t>RW-260806-155449</t>
        </is>
      </c>
      <c r="C48" s="15" t="inlineStr">
        <is>
          <t>Yes</t>
        </is>
      </c>
      <c r="D48" s="15" t="inlineStr">
        <is>
          <t>Apex Display Group</t>
        </is>
      </c>
      <c r="E48" s="15" t="inlineStr">
        <is>
          <t>RFQ #2370-22 mockup - 36ct Mayonnaise Drop Down Hutch</t>
        </is>
      </c>
      <c r="F48" s="15" t="inlineStr">
        <is>
          <t>Option 1</t>
        </is>
      </c>
      <c r="G48" s="14" t="n">
        <v>3</v>
      </c>
      <c r="H48" s="15" t="inlineStr">
        <is>
          <t>1-49</t>
        </is>
      </c>
      <c r="I48" s="15" t="inlineStr">
        <is>
          <t>1-3</t>
        </is>
      </c>
      <c r="J48" s="14" t="n">
        <v>5</v>
      </c>
      <c r="K48" s="14" t="n">
        <v>5</v>
      </c>
      <c r="L48" s="15" t="inlineStr">
        <is>
          <t>opt+qty</t>
        </is>
      </c>
      <c r="M48" s="15" t="inlineStr">
        <is>
          <t>Gloss</t>
        </is>
      </c>
      <c r="N48" s="15" t="inlineStr">
        <is>
          <t>Print</t>
        </is>
      </c>
      <c r="O48" s="15" t="inlineStr">
        <is>
          <t>CAD</t>
        </is>
      </c>
      <c r="P48" s="15" t="inlineStr">
        <is>
          <t>ECT 44 B</t>
        </is>
      </c>
      <c r="Q48" s="15" t="inlineStr">
        <is>
          <t>No</t>
        </is>
      </c>
      <c r="R48" s="16" t="n">
        <v>1457.39</v>
      </c>
      <c r="S48" s="16" t="n">
        <v>1114.31</v>
      </c>
      <c r="T48" s="16" t="n">
        <v>343.0800000000002</v>
      </c>
      <c r="U48" s="17" t="n">
        <v>30.78855973651858</v>
      </c>
      <c r="V48" s="18" t="n">
        <v>0.175062524348972</v>
      </c>
      <c r="W48" s="15" t="inlineStr">
        <is>
          <t>No</t>
        </is>
      </c>
      <c r="X48" s="15" t="inlineStr"/>
    </row>
    <row r="49">
      <c r="A49" s="14" t="n">
        <v>222817</v>
      </c>
      <c r="B49" s="15" t="inlineStr">
        <is>
          <t>RW-260806-160530</t>
        </is>
      </c>
      <c r="C49" s="15" t="inlineStr">
        <is>
          <t>Yes</t>
        </is>
      </c>
      <c r="D49" s="15" t="inlineStr">
        <is>
          <t>Weber Display &amp; Packaging</t>
        </is>
      </c>
      <c r="E49" s="15" t="inlineStr">
        <is>
          <t>Salvation Army Carton</t>
        </is>
      </c>
      <c r="F49" s="15" t="inlineStr">
        <is>
          <t>Option 1</t>
        </is>
      </c>
      <c r="G49" s="14" t="n">
        <v>100</v>
      </c>
      <c r="H49" s="15" t="inlineStr">
        <is>
          <t>50-199</t>
        </is>
      </c>
      <c r="I49" s="15" t="inlineStr">
        <is>
          <t>100</t>
        </is>
      </c>
      <c r="J49" s="14" t="n">
        <v>1</v>
      </c>
      <c r="K49" s="14" t="n">
        <v>1</v>
      </c>
      <c r="L49" s="15" t="inlineStr">
        <is>
          <t>opt+qty</t>
        </is>
      </c>
      <c r="M49" s="15" t="inlineStr">
        <is>
          <t>Gloss</t>
        </is>
      </c>
      <c r="N49" s="15" t="inlineStr">
        <is>
          <t>Print</t>
        </is>
      </c>
      <c r="O49" s="15" t="inlineStr">
        <is>
          <t>CAD</t>
        </is>
      </c>
      <c r="P49" s="15" t="inlineStr">
        <is>
          <t>200 C</t>
        </is>
      </c>
      <c r="Q49" s="15" t="inlineStr">
        <is>
          <t>No</t>
        </is>
      </c>
      <c r="R49" s="16" t="n">
        <v>3213.02</v>
      </c>
      <c r="S49" s="16" t="n">
        <v>3314.78</v>
      </c>
      <c r="T49" s="16" t="n">
        <v>-101.7600000000002</v>
      </c>
      <c r="U49" s="17" t="n">
        <v>-3.069886990991867</v>
      </c>
      <c r="V49" s="18" t="n">
        <v>-0.551710779369331</v>
      </c>
      <c r="W49" s="15" t="inlineStr">
        <is>
          <t>No</t>
        </is>
      </c>
      <c r="X49" s="15" t="inlineStr"/>
    </row>
    <row r="50">
      <c r="A50" s="14" t="n">
        <v>222848</v>
      </c>
      <c r="B50" s="15" t="inlineStr">
        <is>
          <t>RW-260806-160923</t>
        </is>
      </c>
      <c r="C50" s="15" t="inlineStr">
        <is>
          <t>Yes</t>
        </is>
      </c>
      <c r="D50" s="15" t="inlineStr">
        <is>
          <t>PCA / Fairfield, OH</t>
        </is>
      </c>
      <c r="E50" s="15" t="inlineStr">
        <is>
          <t>All Spice Merchants - 60 Sec Pickle Display</t>
        </is>
      </c>
      <c r="F50" s="15" t="inlineStr">
        <is>
          <t>Option 2 - CAD Cut Display</t>
        </is>
      </c>
      <c r="G50" s="14" t="n">
        <v>50</v>
      </c>
      <c r="H50" s="15" t="inlineStr">
        <is>
          <t>50-199</t>
        </is>
      </c>
      <c r="I50" s="15" t="inlineStr">
        <is>
          <t>50</t>
        </is>
      </c>
      <c r="J50" s="14" t="n">
        <v>1</v>
      </c>
      <c r="K50" s="14" t="n">
        <v>1</v>
      </c>
      <c r="L50" s="15" t="inlineStr">
        <is>
          <t>opt+qty</t>
        </is>
      </c>
      <c r="M50" s="15" t="inlineStr">
        <is>
          <t>Gloss</t>
        </is>
      </c>
      <c r="N50" s="15" t="inlineStr">
        <is>
          <t>Print</t>
        </is>
      </c>
      <c r="O50" s="15" t="inlineStr">
        <is>
          <t>CAD</t>
        </is>
      </c>
      <c r="P50" s="15" t="inlineStr">
        <is>
          <t>200 B</t>
        </is>
      </c>
      <c r="Q50" s="15" t="inlineStr">
        <is>
          <t>No</t>
        </is>
      </c>
      <c r="R50" s="16" t="n">
        <v>1083.52</v>
      </c>
      <c r="S50" s="16" t="n">
        <v>857.35</v>
      </c>
      <c r="T50" s="16" t="n">
        <v>226.17</v>
      </c>
      <c r="U50" s="17" t="n">
        <v>26.38012480317256</v>
      </c>
      <c r="V50" s="18" t="n">
        <v>0.08043524133980121</v>
      </c>
      <c r="W50" s="15" t="inlineStr">
        <is>
          <t>No</t>
        </is>
      </c>
      <c r="X50" s="15" t="inlineStr"/>
    </row>
    <row r="51">
      <c r="A51" s="14" t="n">
        <v>222935</v>
      </c>
      <c r="B51" s="15" t="inlineStr">
        <is>
          <t>RW-260806-161257</t>
        </is>
      </c>
      <c r="C51" s="15" t="inlineStr">
        <is>
          <t>Yes</t>
        </is>
      </c>
      <c r="D51" s="15" t="inlineStr">
        <is>
          <t>International Paper Retail Pkg &amp; Display</t>
        </is>
      </c>
      <c r="E51" s="15" t="inlineStr">
        <is>
          <t>Proj# 26342 &amp; 26530 / PO 090259-00</t>
        </is>
      </c>
      <c r="F51" s="15" t="inlineStr">
        <is>
          <t>Option 2 - Updated 6/17/26</t>
        </is>
      </c>
      <c r="G51" s="14" t="n">
        <v>15</v>
      </c>
      <c r="H51" s="15" t="inlineStr">
        <is>
          <t>1-49</t>
        </is>
      </c>
      <c r="I51" s="15" t="inlineStr">
        <is>
          <t>3-15</t>
        </is>
      </c>
      <c r="J51" s="14" t="n">
        <v>3</v>
      </c>
      <c r="K51" s="14" t="n">
        <v>3</v>
      </c>
      <c r="L51" s="15" t="inlineStr">
        <is>
          <t>opt+qty</t>
        </is>
      </c>
      <c r="M51" s="15" t="inlineStr">
        <is>
          <t>Satin</t>
        </is>
      </c>
      <c r="N51" s="15" t="inlineStr">
        <is>
          <t>Print</t>
        </is>
      </c>
      <c r="O51" s="15" t="inlineStr">
        <is>
          <t>CAD</t>
        </is>
      </c>
      <c r="P51" s="15" t="inlineStr">
        <is>
          <t>200 B</t>
        </is>
      </c>
      <c r="Q51" s="15" t="inlineStr">
        <is>
          <t>No</t>
        </is>
      </c>
      <c r="R51" s="16" t="n">
        <v>1986.77</v>
      </c>
      <c r="S51" s="16" t="n">
        <v>1006.28</v>
      </c>
      <c r="T51" s="16" t="n">
        <v>980.49</v>
      </c>
      <c r="U51" s="17" t="n">
        <v>97.43709504312915</v>
      </c>
      <c r="V51" s="18" t="n">
        <v>1.60567676907788</v>
      </c>
      <c r="W51" s="15" t="inlineStr">
        <is>
          <t>No</t>
        </is>
      </c>
      <c r="X51" s="15" t="inlineStr"/>
    </row>
    <row r="52">
      <c r="A52" s="14" t="n">
        <v>222971</v>
      </c>
      <c r="B52" s="15" t="inlineStr">
        <is>
          <t>RW-260806-165344</t>
        </is>
      </c>
      <c r="C52" s="15" t="inlineStr">
        <is>
          <t>Yes</t>
        </is>
      </c>
      <c r="D52" s="15" t="inlineStr">
        <is>
          <t>Apex Display Group</t>
        </is>
      </c>
      <c r="E52" s="15" t="inlineStr">
        <is>
          <t>Header - 2 Versions</t>
        </is>
      </c>
      <c r="F52" s="15" t="inlineStr">
        <is>
          <t>Added Qty &amp; Proofs</t>
        </is>
      </c>
      <c r="G52" s="14" t="n">
        <v>520</v>
      </c>
      <c r="H52" s="15" t="inlineStr">
        <is>
          <t>200-999</t>
        </is>
      </c>
      <c r="I52" s="15" t="inlineStr">
        <is>
          <t>520</t>
        </is>
      </c>
      <c r="J52" s="14" t="n">
        <v>2</v>
      </c>
      <c r="K52" s="14" t="n">
        <v>2</v>
      </c>
      <c r="L52" s="15" t="inlineStr">
        <is>
          <t>estimate-fallback</t>
        </is>
      </c>
      <c r="M52" s="15" t="inlineStr">
        <is>
          <t>Gloss/Satin</t>
        </is>
      </c>
      <c r="N52" s="15" t="inlineStr">
        <is>
          <t>Print</t>
        </is>
      </c>
      <c r="O52" s="15" t="inlineStr">
        <is>
          <t>CAD</t>
        </is>
      </c>
      <c r="P52" s="15" t="inlineStr">
        <is>
          <t>200 B</t>
        </is>
      </c>
      <c r="Q52" s="15" t="inlineStr">
        <is>
          <t>No</t>
        </is>
      </c>
      <c r="R52" s="16" t="n">
        <v>3235.58</v>
      </c>
      <c r="S52" s="16" t="n">
        <v>2527.16</v>
      </c>
      <c r="T52" s="16" t="n">
        <v>708.4200000000001</v>
      </c>
      <c r="U52" s="17" t="n">
        <v>28.03225755393407</v>
      </c>
      <c r="V52" s="18" t="n">
        <v>0.1158983559686404</v>
      </c>
      <c r="W52" s="15" t="inlineStr">
        <is>
          <t>No</t>
        </is>
      </c>
      <c r="X52" s="15" t="inlineStr">
        <is>
          <t>SPOT hard Proof $200/each | SPOT hard Proof $200/each</t>
        </is>
      </c>
    </row>
    <row r="53">
      <c r="A53" s="14" t="n">
        <v>222972</v>
      </c>
      <c r="B53" s="15" t="inlineStr">
        <is>
          <t>RW-260807-081531</t>
        </is>
      </c>
      <c r="C53" s="15" t="inlineStr">
        <is>
          <t>Yes</t>
        </is>
      </c>
      <c r="D53" s="15" t="inlineStr">
        <is>
          <t>International Paper Retail Pkg &amp; Display</t>
        </is>
      </c>
      <c r="E53" s="15" t="inlineStr">
        <is>
          <t>Project #26342</t>
        </is>
      </c>
      <c r="F53" s="15" t="inlineStr">
        <is>
          <t>Option 1</t>
        </is>
      </c>
      <c r="G53" s="14" t="n">
        <v>3</v>
      </c>
      <c r="H53" s="15" t="inlineStr">
        <is>
          <t>1-49</t>
        </is>
      </c>
      <c r="I53" s="15" t="inlineStr">
        <is>
          <t>3</t>
        </is>
      </c>
      <c r="J53" s="14" t="n">
        <v>1</v>
      </c>
      <c r="K53" s="14" t="n">
        <v>1</v>
      </c>
      <c r="L53" s="15" t="inlineStr">
        <is>
          <t>opt+qty</t>
        </is>
      </c>
      <c r="M53" s="15" t="inlineStr">
        <is>
          <t>Satin</t>
        </is>
      </c>
      <c r="N53" s="15" t="inlineStr">
        <is>
          <t>Print</t>
        </is>
      </c>
      <c r="O53" s="15" t="inlineStr">
        <is>
          <t>CAD</t>
        </is>
      </c>
      <c r="P53" s="15" t="inlineStr">
        <is>
          <t>250 B</t>
        </is>
      </c>
      <c r="Q53" s="15" t="inlineStr">
        <is>
          <t>No</t>
        </is>
      </c>
      <c r="R53" s="16" t="n">
        <v>824.59</v>
      </c>
      <c r="S53" s="16" t="n">
        <v>753.0599999999999</v>
      </c>
      <c r="T53" s="16" t="n">
        <v>71.53000000000009</v>
      </c>
      <c r="U53" s="17" t="n">
        <v>9.498579130480984</v>
      </c>
      <c r="V53" s="18" t="n">
        <v>-0.2819280064238566</v>
      </c>
      <c r="W53" s="15" t="inlineStr">
        <is>
          <t>No</t>
        </is>
      </c>
      <c r="X53" s="15" t="inlineStr"/>
    </row>
    <row r="54">
      <c r="A54" s="14" t="n">
        <v>222972</v>
      </c>
      <c r="B54" s="15" t="inlineStr">
        <is>
          <t>RW-260807-081531</t>
        </is>
      </c>
      <c r="C54" s="15" t="inlineStr">
        <is>
          <t>Yes</t>
        </is>
      </c>
      <c r="D54" s="15" t="inlineStr">
        <is>
          <t>International Paper Retail Pkg &amp; Display</t>
        </is>
      </c>
      <c r="E54" s="15" t="inlineStr">
        <is>
          <t>Project #26342</t>
        </is>
      </c>
      <c r="F54" s="15" t="inlineStr">
        <is>
          <t>Option 1</t>
        </is>
      </c>
      <c r="G54" s="14" t="n">
        <v>6</v>
      </c>
      <c r="H54" s="15" t="inlineStr">
        <is>
          <t>1-49</t>
        </is>
      </c>
      <c r="I54" s="15" t="inlineStr">
        <is>
          <t>6</t>
        </is>
      </c>
      <c r="J54" s="14" t="n">
        <v>1</v>
      </c>
      <c r="K54" s="14" t="n">
        <v>1</v>
      </c>
      <c r="L54" s="15" t="inlineStr">
        <is>
          <t>opt+qty</t>
        </is>
      </c>
      <c r="M54" s="15" t="inlineStr">
        <is>
          <t>Satin</t>
        </is>
      </c>
      <c r="N54" s="15" t="inlineStr">
        <is>
          <t>Print</t>
        </is>
      </c>
      <c r="O54" s="15" t="inlineStr">
        <is>
          <t>CAD</t>
        </is>
      </c>
      <c r="P54" s="15" t="inlineStr">
        <is>
          <t>250 B</t>
        </is>
      </c>
      <c r="Q54" s="15" t="inlineStr">
        <is>
          <t>No</t>
        </is>
      </c>
      <c r="R54" s="16" t="n">
        <v>995.4</v>
      </c>
      <c r="S54" s="16" t="n">
        <v>825.3</v>
      </c>
      <c r="T54" s="16" t="n">
        <v>170.1</v>
      </c>
      <c r="U54" s="17" t="n">
        <v>20.61068702290077</v>
      </c>
      <c r="V54" s="18" t="n">
        <v>-0.04340603791056661</v>
      </c>
      <c r="W54" s="15" t="inlineStr">
        <is>
          <t>No</t>
        </is>
      </c>
      <c r="X54" s="15" t="inlineStr"/>
    </row>
    <row r="55">
      <c r="A55" s="14" t="n">
        <v>222972</v>
      </c>
      <c r="B55" s="15" t="inlineStr">
        <is>
          <t>RW-260807-081531</t>
        </is>
      </c>
      <c r="C55" s="15" t="inlineStr">
        <is>
          <t>Yes</t>
        </is>
      </c>
      <c r="D55" s="15" t="inlineStr">
        <is>
          <t>International Paper Retail Pkg &amp; Display</t>
        </is>
      </c>
      <c r="E55" s="15" t="inlineStr">
        <is>
          <t>Project #26342</t>
        </is>
      </c>
      <c r="F55" s="15" t="inlineStr">
        <is>
          <t>Option 1</t>
        </is>
      </c>
      <c r="G55" s="14" t="n">
        <v>10</v>
      </c>
      <c r="H55" s="15" t="inlineStr">
        <is>
          <t>1-49</t>
        </is>
      </c>
      <c r="I55" s="15" t="inlineStr">
        <is>
          <t>10</t>
        </is>
      </c>
      <c r="J55" s="14" t="n">
        <v>1</v>
      </c>
      <c r="K55" s="14" t="n">
        <v>1</v>
      </c>
      <c r="L55" s="15" t="inlineStr">
        <is>
          <t>opt+qty</t>
        </is>
      </c>
      <c r="M55" s="15" t="inlineStr">
        <is>
          <t>Satin</t>
        </is>
      </c>
      <c r="N55" s="15" t="inlineStr">
        <is>
          <t>Print</t>
        </is>
      </c>
      <c r="O55" s="15" t="inlineStr">
        <is>
          <t>CAD</t>
        </is>
      </c>
      <c r="P55" s="15" t="inlineStr">
        <is>
          <t>250 B</t>
        </is>
      </c>
      <c r="Q55" s="15" t="inlineStr">
        <is>
          <t>No</t>
        </is>
      </c>
      <c r="R55" s="16" t="n">
        <v>1223.14</v>
      </c>
      <c r="S55" s="16" t="n">
        <v>921.62</v>
      </c>
      <c r="T55" s="16" t="n">
        <v>301.5200000000001</v>
      </c>
      <c r="U55" s="17" t="n">
        <v>32.71630389965496</v>
      </c>
      <c r="V55" s="18" t="n">
        <v>0.2164416521465843</v>
      </c>
      <c r="W55" s="15" t="inlineStr">
        <is>
          <t>No</t>
        </is>
      </c>
      <c r="X55" s="15" t="inlineStr"/>
    </row>
    <row r="56">
      <c r="A56" s="14" t="n">
        <v>223057</v>
      </c>
      <c r="B56" s="15" t="inlineStr">
        <is>
          <t>RW-260807-082050</t>
        </is>
      </c>
      <c r="C56" s="15" t="inlineStr">
        <is>
          <t>Yes</t>
        </is>
      </c>
      <c r="D56" s="15" t="inlineStr">
        <is>
          <t>Massillon Container</t>
        </is>
      </c>
      <c r="E56" s="15" t="inlineStr">
        <is>
          <t>Ten Point</t>
        </is>
      </c>
      <c r="F56" s="15" t="inlineStr">
        <is>
          <t>CAD Cut</t>
        </is>
      </c>
      <c r="G56" s="14" t="n">
        <v>30</v>
      </c>
      <c r="H56" s="15" t="inlineStr">
        <is>
          <t>1-49</t>
        </is>
      </c>
      <c r="I56" s="15" t="inlineStr">
        <is>
          <t>30</t>
        </is>
      </c>
      <c r="J56" s="14" t="n">
        <v>2</v>
      </c>
      <c r="K56" s="14" t="n">
        <v>2</v>
      </c>
      <c r="L56" s="15" t="inlineStr">
        <is>
          <t>opt+qty</t>
        </is>
      </c>
      <c r="M56" s="15" t="inlineStr">
        <is>
          <t>Satin</t>
        </is>
      </c>
      <c r="N56" s="15" t="inlineStr">
        <is>
          <t>Print</t>
        </is>
      </c>
      <c r="O56" s="15" t="inlineStr">
        <is>
          <t>CAD</t>
        </is>
      </c>
      <c r="P56" s="15" t="inlineStr">
        <is>
          <t>200 B</t>
        </is>
      </c>
      <c r="Q56" s="15" t="inlineStr">
        <is>
          <t>No</t>
        </is>
      </c>
      <c r="R56" s="16" t="n">
        <v>759.34</v>
      </c>
      <c r="S56" s="16" t="n">
        <v>851</v>
      </c>
      <c r="T56" s="16" t="n">
        <v>-91.65999999999997</v>
      </c>
      <c r="U56" s="17" t="n">
        <v>-10.77085781433607</v>
      </c>
      <c r="V56" s="18" t="n">
        <v>-0.7170125149203773</v>
      </c>
      <c r="W56" s="15" t="inlineStr">
        <is>
          <t>No</t>
        </is>
      </c>
      <c r="X56" s="15" t="inlineStr"/>
    </row>
    <row r="57">
      <c r="A57" s="14" t="n">
        <v>223057</v>
      </c>
      <c r="B57" s="15" t="inlineStr">
        <is>
          <t>RW-260807-082050</t>
        </is>
      </c>
      <c r="C57" s="15" t="inlineStr">
        <is>
          <t>Yes</t>
        </is>
      </c>
      <c r="D57" s="15" t="inlineStr">
        <is>
          <t>Massillon Container</t>
        </is>
      </c>
      <c r="E57" s="15" t="inlineStr">
        <is>
          <t>Ten Point</t>
        </is>
      </c>
      <c r="F57" s="15" t="inlineStr">
        <is>
          <t>CAD Cut</t>
        </is>
      </c>
      <c r="G57" s="14" t="n">
        <v>50</v>
      </c>
      <c r="H57" s="15" t="inlineStr">
        <is>
          <t>50-199</t>
        </is>
      </c>
      <c r="I57" s="15" t="inlineStr">
        <is>
          <t>50</t>
        </is>
      </c>
      <c r="J57" s="14" t="n">
        <v>2</v>
      </c>
      <c r="K57" s="14" t="n">
        <v>2</v>
      </c>
      <c r="L57" s="15" t="inlineStr">
        <is>
          <t>opt+qty</t>
        </is>
      </c>
      <c r="M57" s="15" t="inlineStr">
        <is>
          <t>Satin</t>
        </is>
      </c>
      <c r="N57" s="15" t="inlineStr">
        <is>
          <t>Print</t>
        </is>
      </c>
      <c r="O57" s="15" t="inlineStr">
        <is>
          <t>CAD</t>
        </is>
      </c>
      <c r="P57" s="15" t="inlineStr">
        <is>
          <t>200 B</t>
        </is>
      </c>
      <c r="Q57" s="15" t="inlineStr">
        <is>
          <t>No</t>
        </is>
      </c>
      <c r="R57" s="16" t="n">
        <v>1067.77</v>
      </c>
      <c r="S57" s="16" t="n">
        <v>1244.58</v>
      </c>
      <c r="T57" s="16" t="n">
        <v>-176.8099999999999</v>
      </c>
      <c r="U57" s="17" t="n">
        <v>-14.20639894582911</v>
      </c>
      <c r="V57" s="18" t="n">
        <v>-0.7907565823399433</v>
      </c>
      <c r="W57" s="15" t="inlineStr">
        <is>
          <t>No</t>
        </is>
      </c>
      <c r="X57" s="15" t="inlineStr"/>
    </row>
    <row r="58">
      <c r="A58" s="14" t="n">
        <v>223057</v>
      </c>
      <c r="B58" s="15" t="inlineStr">
        <is>
          <t>RW-260807-082050</t>
        </is>
      </c>
      <c r="C58" s="15" t="inlineStr">
        <is>
          <t>Yes</t>
        </is>
      </c>
      <c r="D58" s="15" t="inlineStr">
        <is>
          <t>Massillon Container</t>
        </is>
      </c>
      <c r="E58" s="15" t="inlineStr">
        <is>
          <t>Ten Point</t>
        </is>
      </c>
      <c r="F58" s="15" t="inlineStr">
        <is>
          <t>CAD Cut</t>
        </is>
      </c>
      <c r="G58" s="14" t="n">
        <v>70</v>
      </c>
      <c r="H58" s="15" t="inlineStr">
        <is>
          <t>50-199</t>
        </is>
      </c>
      <c r="I58" s="15" t="inlineStr">
        <is>
          <t>70</t>
        </is>
      </c>
      <c r="J58" s="14" t="n">
        <v>2</v>
      </c>
      <c r="K58" s="14" t="n">
        <v>2</v>
      </c>
      <c r="L58" s="15" t="inlineStr">
        <is>
          <t>opt+qty</t>
        </is>
      </c>
      <c r="M58" s="15" t="inlineStr">
        <is>
          <t>Satin</t>
        </is>
      </c>
      <c r="N58" s="15" t="inlineStr">
        <is>
          <t>Print</t>
        </is>
      </c>
      <c r="O58" s="15" t="inlineStr">
        <is>
          <t>CAD</t>
        </is>
      </c>
      <c r="P58" s="15" t="inlineStr">
        <is>
          <t>200 B</t>
        </is>
      </c>
      <c r="Q58" s="15" t="inlineStr">
        <is>
          <t>No</t>
        </is>
      </c>
      <c r="R58" s="16" t="n">
        <v>1290.43</v>
      </c>
      <c r="S58" s="16" t="n">
        <v>1638.14</v>
      </c>
      <c r="T58" s="16" t="n">
        <v>-347.71</v>
      </c>
      <c r="U58" s="17" t="n">
        <v>-21.22590254801177</v>
      </c>
      <c r="V58" s="18" t="n">
        <v>-0.9414305888730226</v>
      </c>
      <c r="W58" s="15" t="inlineStr">
        <is>
          <t>No</t>
        </is>
      </c>
      <c r="X58" s="15" t="inlineStr"/>
    </row>
    <row r="59">
      <c r="A59" s="14" t="n">
        <v>223057</v>
      </c>
      <c r="B59" s="15" t="inlineStr">
        <is>
          <t>RW-260807-082050</t>
        </is>
      </c>
      <c r="C59" s="15" t="inlineStr">
        <is>
          <t>Yes</t>
        </is>
      </c>
      <c r="D59" s="15" t="inlineStr">
        <is>
          <t>Massillon Container</t>
        </is>
      </c>
      <c r="E59" s="15" t="inlineStr">
        <is>
          <t>Ten Point</t>
        </is>
      </c>
      <c r="F59" s="15" t="inlineStr">
        <is>
          <t>CAD Cut</t>
        </is>
      </c>
      <c r="G59" s="14" t="n">
        <v>100</v>
      </c>
      <c r="H59" s="15" t="inlineStr">
        <is>
          <t>50-199</t>
        </is>
      </c>
      <c r="I59" s="15" t="inlineStr">
        <is>
          <t>100</t>
        </is>
      </c>
      <c r="J59" s="14" t="n">
        <v>2</v>
      </c>
      <c r="K59" s="14" t="n">
        <v>2</v>
      </c>
      <c r="L59" s="15" t="inlineStr">
        <is>
          <t>opt+qty</t>
        </is>
      </c>
      <c r="M59" s="15" t="inlineStr">
        <is>
          <t>Satin</t>
        </is>
      </c>
      <c r="N59" s="15" t="inlineStr">
        <is>
          <t>Print</t>
        </is>
      </c>
      <c r="O59" s="15" t="inlineStr">
        <is>
          <t>CAD</t>
        </is>
      </c>
      <c r="P59" s="15" t="inlineStr">
        <is>
          <t>200 B</t>
        </is>
      </c>
      <c r="Q59" s="15" t="inlineStr">
        <is>
          <t>No</t>
        </is>
      </c>
      <c r="R59" s="16" t="n">
        <v>1723.62</v>
      </c>
      <c r="S59" s="16" t="n">
        <v>2224.7</v>
      </c>
      <c r="T59" s="16" t="n">
        <v>-501.0799999999999</v>
      </c>
      <c r="U59" s="17" t="n">
        <v>-22.52348631276127</v>
      </c>
      <c r="V59" s="18" t="n">
        <v>-0.9692832912473457</v>
      </c>
      <c r="W59" s="15" t="inlineStr">
        <is>
          <t>No</t>
        </is>
      </c>
      <c r="X59" s="15" t="inlineStr"/>
    </row>
    <row r="60">
      <c r="A60" s="14" t="n">
        <v>223065</v>
      </c>
      <c r="B60" s="15" t="inlineStr">
        <is>
          <t>RW-260807-082738</t>
        </is>
      </c>
      <c r="C60" s="15" t="inlineStr">
        <is>
          <t>Yes</t>
        </is>
      </c>
      <c r="D60" s="15" t="inlineStr">
        <is>
          <t>International Paper Retail Pkg &amp; Display</t>
        </is>
      </c>
      <c r="E60" s="15" t="inlineStr">
        <is>
          <t>DWGCU150HP (HD GC Under $150 HP)</t>
        </is>
      </c>
      <c r="F60" s="15" t="inlineStr"/>
      <c r="G60" s="14" t="n">
        <v>18</v>
      </c>
      <c r="H60" s="15" t="inlineStr">
        <is>
          <t>1-49</t>
        </is>
      </c>
      <c r="I60" s="15" t="inlineStr">
        <is>
          <t>3-18</t>
        </is>
      </c>
      <c r="J60" s="14" t="n">
        <v>6</v>
      </c>
      <c r="K60" s="14" t="n">
        <v>6</v>
      </c>
      <c r="L60" s="15" t="inlineStr">
        <is>
          <t>qty-only</t>
        </is>
      </c>
      <c r="M60" s="15" t="inlineStr">
        <is>
          <t>Satin</t>
        </is>
      </c>
      <c r="N60" s="15" t="inlineStr">
        <is>
          <t>Print</t>
        </is>
      </c>
      <c r="O60" s="15" t="inlineStr">
        <is>
          <t>CAD</t>
        </is>
      </c>
      <c r="P60" s="15" t="inlineStr">
        <is>
          <t>200 B</t>
        </is>
      </c>
      <c r="Q60" s="15" t="inlineStr">
        <is>
          <t>No</t>
        </is>
      </c>
      <c r="R60" s="16" t="n">
        <v>2747.34</v>
      </c>
      <c r="S60" s="16" t="n">
        <v>2281.69</v>
      </c>
      <c r="T60" s="16" t="n">
        <v>465.6500000000001</v>
      </c>
      <c r="U60" s="17" t="n">
        <v>20.40811854371102</v>
      </c>
      <c r="V60" s="18" t="n">
        <v>-0.0477541807546476</v>
      </c>
      <c r="W60" s="15" t="inlineStr">
        <is>
          <t>No</t>
        </is>
      </c>
      <c r="X60" s="15" t="inlineStr"/>
    </row>
    <row r="61">
      <c r="A61" s="14" t="n">
        <v>223071</v>
      </c>
      <c r="B61" s="15" t="inlineStr">
        <is>
          <t>RW-260807-084719</t>
        </is>
      </c>
      <c r="C61" s="15" t="inlineStr">
        <is>
          <t>Yes</t>
        </is>
      </c>
      <c r="D61" s="15" t="inlineStr">
        <is>
          <t>Massillon Container Company</t>
        </is>
      </c>
      <c r="E61" s="15" t="inlineStr">
        <is>
          <t>X101784 / X101785 - MCC-18605 / MCC-18604</t>
        </is>
      </c>
      <c r="F61" s="15" t="inlineStr">
        <is>
          <t>Option 1</t>
        </is>
      </c>
      <c r="G61" s="14" t="n">
        <v>500</v>
      </c>
      <c r="H61" s="15" t="inlineStr">
        <is>
          <t>200-999</t>
        </is>
      </c>
      <c r="I61" s="15" t="inlineStr">
        <is>
          <t>500</t>
        </is>
      </c>
      <c r="J61" s="14" t="n">
        <v>2</v>
      </c>
      <c r="K61" s="14" t="n">
        <v>2</v>
      </c>
      <c r="L61" s="15" t="inlineStr">
        <is>
          <t>opt+qty</t>
        </is>
      </c>
      <c r="M61" s="15" t="inlineStr">
        <is>
          <t>None</t>
        </is>
      </c>
      <c r="N61" s="15" t="inlineStr">
        <is>
          <t>No Print</t>
        </is>
      </c>
      <c r="O61" s="15" t="inlineStr">
        <is>
          <t>CAD</t>
        </is>
      </c>
      <c r="P61" s="15" t="inlineStr">
        <is>
          <t>ECT 32 C</t>
        </is>
      </c>
      <c r="Q61" s="15" t="inlineStr">
        <is>
          <t>No</t>
        </is>
      </c>
      <c r="R61" s="16" t="n">
        <v>774.65</v>
      </c>
      <c r="S61" s="16" t="n">
        <v>557.1899999999999</v>
      </c>
      <c r="T61" s="16" t="n">
        <v>217.46</v>
      </c>
      <c r="U61" s="17" t="n">
        <v>39.02797968377036</v>
      </c>
      <c r="V61" s="18" t="n">
        <v>0.3519220980907637</v>
      </c>
      <c r="W61" s="15" t="inlineStr">
        <is>
          <t>No</t>
        </is>
      </c>
      <c r="X61" s="15" t="inlineStr"/>
    </row>
    <row r="62">
      <c r="A62" s="14" t="n">
        <v>223071</v>
      </c>
      <c r="B62" s="15" t="inlineStr">
        <is>
          <t>RW-260807-084719</t>
        </is>
      </c>
      <c r="C62" s="15" t="inlineStr">
        <is>
          <t>Yes</t>
        </is>
      </c>
      <c r="D62" s="15" t="inlineStr">
        <is>
          <t>Massillon Container Company</t>
        </is>
      </c>
      <c r="E62" s="15" t="inlineStr">
        <is>
          <t>X101784 / X101785 - MCC-18605 / MCC-18604</t>
        </is>
      </c>
      <c r="F62" s="15" t="inlineStr">
        <is>
          <t>Option 1</t>
        </is>
      </c>
      <c r="G62" s="14" t="n">
        <v>800</v>
      </c>
      <c r="H62" s="15" t="inlineStr">
        <is>
          <t>200-999</t>
        </is>
      </c>
      <c r="I62" s="15" t="inlineStr">
        <is>
          <t>800</t>
        </is>
      </c>
      <c r="J62" s="14" t="n">
        <v>2</v>
      </c>
      <c r="K62" s="14" t="n">
        <v>2</v>
      </c>
      <c r="L62" s="15" t="inlineStr">
        <is>
          <t>opt+qty</t>
        </is>
      </c>
      <c r="M62" s="15" t="inlineStr">
        <is>
          <t>None</t>
        </is>
      </c>
      <c r="N62" s="15" t="inlineStr">
        <is>
          <t>No Print</t>
        </is>
      </c>
      <c r="O62" s="15" t="inlineStr">
        <is>
          <t>CAD</t>
        </is>
      </c>
      <c r="P62" s="15" t="inlineStr">
        <is>
          <t>ECT 32 C</t>
        </is>
      </c>
      <c r="Q62" s="15" t="inlineStr">
        <is>
          <t>No</t>
        </is>
      </c>
      <c r="R62" s="16" t="n">
        <v>1070.81</v>
      </c>
      <c r="S62" s="16" t="n">
        <v>702.74</v>
      </c>
      <c r="T62" s="16" t="n">
        <v>368.0699999999999</v>
      </c>
      <c r="U62" s="17" t="n">
        <v>52.37641232888407</v>
      </c>
      <c r="V62" s="18" t="n">
        <v>0.6384468926575538</v>
      </c>
      <c r="W62" s="15" t="inlineStr">
        <is>
          <t>No</t>
        </is>
      </c>
      <c r="X62" s="15" t="inlineStr"/>
    </row>
    <row r="63">
      <c r="A63" s="14" t="n">
        <v>223105</v>
      </c>
      <c r="B63" s="15" t="inlineStr">
        <is>
          <t>RW-260807-132555</t>
        </is>
      </c>
      <c r="C63" s="15" t="inlineStr">
        <is>
          <t>Yes</t>
        </is>
      </c>
      <c r="D63" s="15" t="inlineStr">
        <is>
          <t>PCA - Ashland</t>
        </is>
      </c>
      <c r="E63" s="15" t="inlineStr">
        <is>
          <t>Plantation Products</t>
        </is>
      </c>
      <c r="F63" s="15" t="inlineStr">
        <is>
          <t>Option 1</t>
        </is>
      </c>
      <c r="G63" s="14" t="n">
        <v>4</v>
      </c>
      <c r="H63" s="15" t="inlineStr">
        <is>
          <t>1-49</t>
        </is>
      </c>
      <c r="I63" s="15" t="inlineStr">
        <is>
          <t>4</t>
        </is>
      </c>
      <c r="J63" s="14" t="n">
        <v>1</v>
      </c>
      <c r="K63" s="14" t="n">
        <v>1</v>
      </c>
      <c r="L63" s="15" t="inlineStr">
        <is>
          <t>opt+qty</t>
        </is>
      </c>
      <c r="M63" s="15" t="inlineStr">
        <is>
          <t>Satin</t>
        </is>
      </c>
      <c r="N63" s="15" t="inlineStr">
        <is>
          <t>Print</t>
        </is>
      </c>
      <c r="O63" s="15" t="inlineStr">
        <is>
          <t>CAD</t>
        </is>
      </c>
      <c r="P63" s="15" t="inlineStr">
        <is>
          <t>200 B</t>
        </is>
      </c>
      <c r="Q63" s="15" t="inlineStr">
        <is>
          <t>No</t>
        </is>
      </c>
      <c r="R63" s="16" t="n">
        <v>524.96</v>
      </c>
      <c r="S63" s="16" t="n">
        <v>414.02</v>
      </c>
      <c r="T63" s="16" t="n">
        <v>110.9400000000001</v>
      </c>
      <c r="U63" s="17" t="n">
        <v>26.79580696584707</v>
      </c>
      <c r="V63" s="18" t="n">
        <v>0.08935788038154614</v>
      </c>
      <c r="W63" s="15" t="inlineStr">
        <is>
          <t>No</t>
        </is>
      </c>
      <c r="X63" s="15" t="inlineStr"/>
    </row>
    <row r="64">
      <c r="A64" s="14" t="n">
        <v>223127</v>
      </c>
      <c r="B64" s="15" t="inlineStr">
        <is>
          <t>RW-260807-132828</t>
        </is>
      </c>
      <c r="C64" s="15" t="inlineStr">
        <is>
          <t>Yes</t>
        </is>
      </c>
      <c r="D64" s="15" t="inlineStr">
        <is>
          <t>PCA- New Oxford</t>
        </is>
      </c>
      <c r="E64" s="15" t="inlineStr">
        <is>
          <t xml:space="preserve">G&amp;S Foods 23433 4ct Case Vlasic 85103 </t>
        </is>
      </c>
      <c r="F64" s="15" t="inlineStr"/>
      <c r="G64" s="14" t="n">
        <v>30</v>
      </c>
      <c r="H64" s="15" t="inlineStr">
        <is>
          <t>1-49</t>
        </is>
      </c>
      <c r="I64" s="15" t="inlineStr">
        <is>
          <t>30</t>
        </is>
      </c>
      <c r="J64" s="14" t="n">
        <v>1</v>
      </c>
      <c r="K64" s="14" t="n">
        <v>1</v>
      </c>
      <c r="L64" s="15" t="inlineStr">
        <is>
          <t>qty-only</t>
        </is>
      </c>
      <c r="M64" s="15" t="inlineStr">
        <is>
          <t>None</t>
        </is>
      </c>
      <c r="N64" s="15" t="inlineStr">
        <is>
          <t>No Print</t>
        </is>
      </c>
      <c r="O64" s="15" t="inlineStr">
        <is>
          <t>CAD</t>
        </is>
      </c>
      <c r="P64" s="15" t="inlineStr">
        <is>
          <t>ECT 32 B</t>
        </is>
      </c>
      <c r="Q64" s="15" t="inlineStr">
        <is>
          <t>Yes</t>
        </is>
      </c>
      <c r="R64" s="16" t="n">
        <v>2902.85</v>
      </c>
      <c r="S64" s="16" t="n">
        <v>925.77</v>
      </c>
      <c r="T64" s="16" t="n">
        <v>1977.08</v>
      </c>
      <c r="U64" s="17" t="n">
        <v>213.5606036056472</v>
      </c>
      <c r="V64" s="18" t="n">
        <v>4.098273864170532</v>
      </c>
      <c r="W64" s="15" t="inlineStr">
        <is>
          <t>No</t>
        </is>
      </c>
      <c r="X64" s="15" t="inlineStr">
        <is>
          <t>using 15; buy min = 663</t>
        </is>
      </c>
    </row>
    <row r="65">
      <c r="A65" s="14" t="n">
        <v>223172</v>
      </c>
      <c r="B65" s="15" t="inlineStr">
        <is>
          <t>RW-260807-133446</t>
        </is>
      </c>
      <c r="C65" s="15" t="inlineStr">
        <is>
          <t>Yes</t>
        </is>
      </c>
      <c r="D65" s="15" t="inlineStr">
        <is>
          <t>PCA- New Oxford</t>
        </is>
      </c>
      <c r="E65" s="15" t="inlineStr">
        <is>
          <t>vlasic pckleball retail case samples</t>
        </is>
      </c>
      <c r="F65" s="15" t="inlineStr"/>
      <c r="G65" s="14" t="n">
        <v>60</v>
      </c>
      <c r="H65" s="15" t="inlineStr">
        <is>
          <t>50-199</t>
        </is>
      </c>
      <c r="I65" s="15" t="inlineStr">
        <is>
          <t>60</t>
        </is>
      </c>
      <c r="J65" s="14" t="n">
        <v>1</v>
      </c>
      <c r="K65" s="14" t="n">
        <v>1</v>
      </c>
      <c r="L65" s="15" t="inlineStr">
        <is>
          <t>qty-only</t>
        </is>
      </c>
      <c r="M65" s="15" t="inlineStr">
        <is>
          <t>None</t>
        </is>
      </c>
      <c r="N65" s="15" t="inlineStr">
        <is>
          <t>No Print</t>
        </is>
      </c>
      <c r="O65" s="15" t="inlineStr">
        <is>
          <t>CAD</t>
        </is>
      </c>
      <c r="P65" s="15" t="inlineStr">
        <is>
          <t>ECT 32 C</t>
        </is>
      </c>
      <c r="Q65" s="15" t="inlineStr">
        <is>
          <t>Yes</t>
        </is>
      </c>
      <c r="R65" s="16" t="n">
        <v>2838.7</v>
      </c>
      <c r="S65" s="16" t="n">
        <v>530.5</v>
      </c>
      <c r="T65" s="16" t="n">
        <v>2308.2</v>
      </c>
      <c r="U65" s="17" t="n">
        <v>435.0989632422243</v>
      </c>
      <c r="V65" s="18" t="n">
        <v>8.853606169553204</v>
      </c>
      <c r="W65" s="15" t="inlineStr">
        <is>
          <t>No</t>
        </is>
      </c>
      <c r="X65" s="15" t="inlineStr">
        <is>
          <t>Using 30; buy min = 350</t>
        </is>
      </c>
    </row>
    <row r="66">
      <c r="A66" s="14" t="n">
        <v>223199</v>
      </c>
      <c r="B66" s="15" t="inlineStr">
        <is>
          <t>RW-260807-135507</t>
        </is>
      </c>
      <c r="C66" s="15" t="inlineStr">
        <is>
          <t>Yes</t>
        </is>
      </c>
      <c r="D66" s="15" t="inlineStr">
        <is>
          <t>PCA / Fairfield, OH</t>
        </is>
      </c>
      <c r="E66" s="15" t="inlineStr">
        <is>
          <t>Energizer Multi-Pak Tray</t>
        </is>
      </c>
      <c r="F66" s="15" t="inlineStr">
        <is>
          <t>CAD Cut</t>
        </is>
      </c>
      <c r="G66" s="14" t="n">
        <v>1200</v>
      </c>
      <c r="H66" s="15" t="inlineStr">
        <is>
          <t>1000-4999</t>
        </is>
      </c>
      <c r="I66" s="15" t="inlineStr">
        <is>
          <t>1200</t>
        </is>
      </c>
      <c r="J66" s="14" t="n">
        <v>1</v>
      </c>
      <c r="K66" s="14" t="n">
        <v>1</v>
      </c>
      <c r="L66" s="15" t="inlineStr">
        <is>
          <t>opt+qty</t>
        </is>
      </c>
      <c r="M66" s="15" t="inlineStr">
        <is>
          <t>Gloss</t>
        </is>
      </c>
      <c r="N66" s="15" t="inlineStr">
        <is>
          <t>Print</t>
        </is>
      </c>
      <c r="O66" s="15" t="inlineStr">
        <is>
          <t>CAD</t>
        </is>
      </c>
      <c r="P66" s="15" t="inlineStr">
        <is>
          <t>200 B</t>
        </is>
      </c>
      <c r="Q66" s="15" t="inlineStr">
        <is>
          <t>No</t>
        </is>
      </c>
      <c r="R66" s="16" t="n">
        <v>1753.94</v>
      </c>
      <c r="S66" s="16" t="n">
        <v>1856.62</v>
      </c>
      <c r="T66" s="16" t="n">
        <v>-102.6799999999998</v>
      </c>
      <c r="U66" s="17" t="n">
        <v>-5.530480119787563</v>
      </c>
      <c r="V66" s="18" t="n">
        <v>-0.6045275376723156</v>
      </c>
      <c r="W66" s="15" t="inlineStr">
        <is>
          <t>No</t>
        </is>
      </c>
      <c r="X66" s="15" t="inlineStr"/>
    </row>
    <row r="67">
      <c r="A67" s="14" t="n">
        <v>223207</v>
      </c>
      <c r="B67" s="15" t="inlineStr">
        <is>
          <t>RW-260623-091031</t>
        </is>
      </c>
      <c r="C67" s="15" t="inlineStr">
        <is>
          <t>Yes</t>
        </is>
      </c>
      <c r="D67" s="15" t="inlineStr">
        <is>
          <t>Skybox Packaging, LLC</t>
        </is>
      </c>
      <c r="E67" s="15" t="inlineStr">
        <is>
          <t>PO 47928 / MTD 645-90566A</t>
        </is>
      </c>
      <c r="F67" s="15" t="inlineStr">
        <is>
          <t>CAD Cut</t>
        </is>
      </c>
      <c r="G67" s="14" t="n">
        <v>210</v>
      </c>
      <c r="H67" s="15" t="inlineStr">
        <is>
          <t>200-999</t>
        </is>
      </c>
      <c r="I67" s="15" t="inlineStr">
        <is>
          <t>210</t>
        </is>
      </c>
      <c r="J67" s="14" t="n">
        <v>1</v>
      </c>
      <c r="K67" s="14" t="n">
        <v>1</v>
      </c>
      <c r="L67" s="15" t="inlineStr">
        <is>
          <t>opt+qty</t>
        </is>
      </c>
      <c r="M67" s="15" t="inlineStr">
        <is>
          <t>Satin</t>
        </is>
      </c>
      <c r="N67" s="15" t="inlineStr">
        <is>
          <t>Print</t>
        </is>
      </c>
      <c r="O67" s="15" t="inlineStr">
        <is>
          <t>CAD</t>
        </is>
      </c>
      <c r="P67" s="15" t="inlineStr">
        <is>
          <t>ECT 44 B</t>
        </is>
      </c>
      <c r="Q67" s="15" t="inlineStr">
        <is>
          <t>No</t>
        </is>
      </c>
      <c r="R67" s="16" t="n">
        <v>1752.51</v>
      </c>
      <c r="S67" s="16" t="n">
        <v>1826.19</v>
      </c>
      <c r="T67" s="16" t="n">
        <v>-73.68000000000006</v>
      </c>
      <c r="U67" s="17" t="n">
        <v>-4.034629474479658</v>
      </c>
      <c r="V67" s="18" t="n">
        <v>-0.5724190264901927</v>
      </c>
      <c r="W67" s="15" t="inlineStr">
        <is>
          <t>No</t>
        </is>
      </c>
      <c r="X67" s="15" t="inlineStr"/>
    </row>
    <row r="68">
      <c r="A68" s="14" t="n">
        <v>223209</v>
      </c>
      <c r="B68" s="15" t="inlineStr">
        <is>
          <t>RW-260727-080830</t>
        </is>
      </c>
      <c r="C68" s="15" t="inlineStr">
        <is>
          <t>Yes</t>
        </is>
      </c>
      <c r="D68" s="15" t="inlineStr">
        <is>
          <t>Compass Packaging</t>
        </is>
      </c>
      <c r="E68" s="15" t="inlineStr">
        <is>
          <t>ACE HARDWARE 42 GAL TRASH BIN (REV)</t>
        </is>
      </c>
      <c r="F68" s="15" t="inlineStr">
        <is>
          <t>Option 1</t>
        </is>
      </c>
      <c r="G68" s="14" t="n">
        <v>1</v>
      </c>
      <c r="H68" s="15" t="inlineStr">
        <is>
          <t>1-49</t>
        </is>
      </c>
      <c r="I68" s="15" t="inlineStr">
        <is>
          <t>1</t>
        </is>
      </c>
      <c r="J68" s="14" t="n">
        <v>1</v>
      </c>
      <c r="K68" s="14" t="n">
        <v>1</v>
      </c>
      <c r="L68" s="15" t="inlineStr">
        <is>
          <t>opt+qty</t>
        </is>
      </c>
      <c r="M68" s="15" t="inlineStr">
        <is>
          <t>Satin</t>
        </is>
      </c>
      <c r="N68" s="15" t="inlineStr">
        <is>
          <t>Print</t>
        </is>
      </c>
      <c r="O68" s="15" t="inlineStr">
        <is>
          <t>CAD</t>
        </is>
      </c>
      <c r="P68" s="15" t="inlineStr">
        <is>
          <t>ECT 32 C</t>
        </is>
      </c>
      <c r="Q68" s="15" t="inlineStr">
        <is>
          <t>No</t>
        </is>
      </c>
      <c r="R68" s="16" t="n">
        <v>453.63</v>
      </c>
      <c r="S68" s="16" t="n">
        <v>241.9</v>
      </c>
      <c r="T68" s="16" t="n">
        <v>211.73</v>
      </c>
      <c r="U68" s="17" t="n">
        <v>87.52790409260024</v>
      </c>
      <c r="V68" s="18" t="n">
        <v>1.392975474708109</v>
      </c>
      <c r="W68" s="15" t="inlineStr">
        <is>
          <t>No</t>
        </is>
      </c>
      <c r="X68" s="15" t="inlineStr"/>
    </row>
    <row r="69">
      <c r="A69" s="14" t="n">
        <v>223313</v>
      </c>
      <c r="B69" s="15" t="inlineStr">
        <is>
          <t>RW-260807-135919</t>
        </is>
      </c>
      <c r="C69" s="15" t="inlineStr">
        <is>
          <t>Yes</t>
        </is>
      </c>
      <c r="D69" s="15" t="inlineStr">
        <is>
          <t>BCI- Syracuse</t>
        </is>
      </c>
      <c r="E69" s="15" t="inlineStr">
        <is>
          <t>Fedrigoni Paper Crane</t>
        </is>
      </c>
      <c r="F69" s="15" t="inlineStr">
        <is>
          <t>CAD - no proof</t>
        </is>
      </c>
      <c r="G69" s="14" t="n">
        <v>1000</v>
      </c>
      <c r="H69" s="15" t="inlineStr">
        <is>
          <t>1000-4999</t>
        </is>
      </c>
      <c r="I69" s="15" t="inlineStr">
        <is>
          <t>1000</t>
        </is>
      </c>
      <c r="J69" s="14" t="n">
        <v>1</v>
      </c>
      <c r="K69" s="14" t="n">
        <v>1</v>
      </c>
      <c r="L69" s="15" t="inlineStr">
        <is>
          <t>opt+qty</t>
        </is>
      </c>
      <c r="M69" s="15" t="inlineStr">
        <is>
          <t>Gloss</t>
        </is>
      </c>
      <c r="N69" s="15" t="inlineStr">
        <is>
          <t>Print</t>
        </is>
      </c>
      <c r="O69" s="15" t="inlineStr">
        <is>
          <t>CAD</t>
        </is>
      </c>
      <c r="P69" s="15" t="inlineStr">
        <is>
          <t>200 E</t>
        </is>
      </c>
      <c r="Q69" s="15" t="inlineStr">
        <is>
          <t>No</t>
        </is>
      </c>
      <c r="R69" s="16" t="n">
        <v>4925.25</v>
      </c>
      <c r="S69" s="16" t="n">
        <v>4937.17</v>
      </c>
      <c r="T69" s="16" t="n">
        <v>-11.92000000000007</v>
      </c>
      <c r="U69" s="17" t="n">
        <v>-0.2414338578578431</v>
      </c>
      <c r="V69" s="18" t="n">
        <v>-0.4909978871175443</v>
      </c>
      <c r="W69" s="15" t="inlineStr">
        <is>
          <t>No</t>
        </is>
      </c>
      <c r="X69" s="15" t="inlineStr"/>
    </row>
    <row r="70">
      <c r="A70" s="14" t="n">
        <v>223318</v>
      </c>
      <c r="B70" s="15" t="inlineStr">
        <is>
          <t>RW-260807-140331</t>
        </is>
      </c>
      <c r="C70" s="15" t="inlineStr">
        <is>
          <t>Yes</t>
        </is>
      </c>
      <c r="D70" s="15" t="inlineStr">
        <is>
          <t>Apex Display Group</t>
        </is>
      </c>
      <c r="E70" s="15" t="inlineStr">
        <is>
          <t xml:space="preserve">36ct 3 Step FD </t>
        </is>
      </c>
      <c r="F70" s="15" t="inlineStr">
        <is>
          <t>Kemi/KLA|Kemi/Kraft</t>
        </is>
      </c>
      <c r="G70" s="14" t="n">
        <v>1000</v>
      </c>
      <c r="H70" s="15" t="inlineStr">
        <is>
          <t>1000-4999</t>
        </is>
      </c>
      <c r="I70" s="15" t="inlineStr">
        <is>
          <t>1000</t>
        </is>
      </c>
      <c r="J70" s="14" t="n">
        <v>2</v>
      </c>
      <c r="K70" s="14" t="n">
        <v>2</v>
      </c>
      <c r="L70" s="15" t="inlineStr">
        <is>
          <t>opt+qty</t>
        </is>
      </c>
      <c r="M70" s="15" t="inlineStr">
        <is>
          <t>Gloss/Satin</t>
        </is>
      </c>
      <c r="N70" s="15" t="inlineStr">
        <is>
          <t>Print</t>
        </is>
      </c>
      <c r="O70" s="15" t="inlineStr">
        <is>
          <t>CAD</t>
        </is>
      </c>
      <c r="P70" s="15" t="inlineStr">
        <is>
          <t>200 B</t>
        </is>
      </c>
      <c r="Q70" s="15" t="inlineStr">
        <is>
          <t>No</t>
        </is>
      </c>
      <c r="R70" s="16" t="n">
        <v>3656.93</v>
      </c>
      <c r="S70" s="16" t="n">
        <v>3322.36</v>
      </c>
      <c r="T70" s="16" t="n">
        <v>334.5700000000002</v>
      </c>
      <c r="U70" s="17" t="n">
        <v>10.07025126717153</v>
      </c>
      <c r="V70" s="18" t="n">
        <v>-0.2696570345517562</v>
      </c>
      <c r="W70" s="15" t="inlineStr">
        <is>
          <t>No</t>
        </is>
      </c>
      <c r="X70" s="15" t="inlineStr">
        <is>
          <t xml:space="preserve">Use Component total to compare this one because only one of these options would be chosen and the quote total is if both options were chosen for the same qty | Use Component total to compare this one because only one of these options would be chosen </t>
        </is>
      </c>
    </row>
    <row r="71">
      <c r="A71" s="14" t="n">
        <v>223318</v>
      </c>
      <c r="B71" s="15" t="inlineStr">
        <is>
          <t>RW-260807-140331</t>
        </is>
      </c>
      <c r="C71" s="15" t="inlineStr">
        <is>
          <t>Yes</t>
        </is>
      </c>
      <c r="D71" s="15" t="inlineStr">
        <is>
          <t>Apex Display Group</t>
        </is>
      </c>
      <c r="E71" s="15" t="inlineStr">
        <is>
          <t xml:space="preserve">36ct 3 Step FD </t>
        </is>
      </c>
      <c r="F71" s="15" t="inlineStr">
        <is>
          <t>Kemi/KLA|Kemi/Kraft</t>
        </is>
      </c>
      <c r="G71" s="14" t="n">
        <v>1500</v>
      </c>
      <c r="H71" s="15" t="inlineStr">
        <is>
          <t>1000-4999</t>
        </is>
      </c>
      <c r="I71" s="15" t="inlineStr">
        <is>
          <t>1500</t>
        </is>
      </c>
      <c r="J71" s="14" t="n">
        <v>2</v>
      </c>
      <c r="K71" s="14" t="n">
        <v>2</v>
      </c>
      <c r="L71" s="15" t="inlineStr">
        <is>
          <t>opt+qty</t>
        </is>
      </c>
      <c r="M71" s="15" t="inlineStr">
        <is>
          <t>Gloss/Satin</t>
        </is>
      </c>
      <c r="N71" s="15" t="inlineStr">
        <is>
          <t>Print</t>
        </is>
      </c>
      <c r="O71" s="15" t="inlineStr">
        <is>
          <t>CAD</t>
        </is>
      </c>
      <c r="P71" s="15" t="inlineStr">
        <is>
          <t>200 B</t>
        </is>
      </c>
      <c r="Q71" s="15" t="inlineStr">
        <is>
          <t>No</t>
        </is>
      </c>
      <c r="R71" s="16" t="n">
        <v>4926.55</v>
      </c>
      <c r="S71" s="16" t="n">
        <v>4469.299999999999</v>
      </c>
      <c r="T71" s="16" t="n">
        <v>457.2500000000009</v>
      </c>
      <c r="U71" s="17" t="n">
        <v>10.23090864341174</v>
      </c>
      <c r="V71" s="18" t="n">
        <v>-0.2662085156921494</v>
      </c>
      <c r="W71" s="15" t="inlineStr">
        <is>
          <t>No</t>
        </is>
      </c>
      <c r="X71" s="15" t="inlineStr">
        <is>
          <t xml:space="preserve">Use Component total to compare this one because only one of these options would be chosen and the quote total is if both options were chosen for the same qty | Use Component total to compare this one because only one of these options would be chosen </t>
        </is>
      </c>
    </row>
    <row r="72">
      <c r="A72" s="14" t="n">
        <v>223327</v>
      </c>
      <c r="B72" s="15" t="inlineStr">
        <is>
          <t>RW-260804-155659</t>
        </is>
      </c>
      <c r="C72" s="15" t="inlineStr">
        <is>
          <t>Yes</t>
        </is>
      </c>
      <c r="D72" s="15" t="inlineStr">
        <is>
          <t>Skybox Packaging, LLC</t>
        </is>
      </c>
      <c r="E72" s="15" t="inlineStr">
        <is>
          <t>ICM Spring Insert</t>
        </is>
      </c>
      <c r="F72" s="15" t="inlineStr">
        <is>
          <t>Die Cut - Pricing Purposes</t>
        </is>
      </c>
      <c r="G72" s="14" t="n">
        <v>200</v>
      </c>
      <c r="H72" s="15" t="inlineStr">
        <is>
          <t>200-999</t>
        </is>
      </c>
      <c r="I72" s="15" t="inlineStr">
        <is>
          <t>200</t>
        </is>
      </c>
      <c r="J72" s="14" t="n">
        <v>1</v>
      </c>
      <c r="K72" s="14" t="n">
        <v>1</v>
      </c>
      <c r="L72" s="15" t="inlineStr">
        <is>
          <t>opt+qty</t>
        </is>
      </c>
      <c r="M72" s="15" t="inlineStr">
        <is>
          <t>None</t>
        </is>
      </c>
      <c r="N72" s="15" t="inlineStr">
        <is>
          <t>No Print</t>
        </is>
      </c>
      <c r="O72" s="15" t="inlineStr">
        <is>
          <t>CAD</t>
        </is>
      </c>
      <c r="P72" s="15" t="inlineStr">
        <is>
          <t>ECT 44 B</t>
        </is>
      </c>
      <c r="Q72" s="15" t="inlineStr">
        <is>
          <t>No</t>
        </is>
      </c>
      <c r="R72" s="16" t="n">
        <v>1032.73</v>
      </c>
      <c r="S72" s="16" t="n">
        <v>960.48</v>
      </c>
      <c r="T72" s="16" t="n">
        <v>72.25</v>
      </c>
      <c r="U72" s="17" t="n">
        <v>7.522280526403464</v>
      </c>
      <c r="V72" s="18" t="n">
        <v>-0.3243493577982615</v>
      </c>
      <c r="W72" s="15" t="inlineStr">
        <is>
          <t>No</t>
        </is>
      </c>
      <c r="X72" s="15" t="inlineStr"/>
    </row>
    <row r="73">
      <c r="A73" s="14" t="n">
        <v>223327</v>
      </c>
      <c r="B73" s="15" t="inlineStr">
        <is>
          <t>RW-260804-155659</t>
        </is>
      </c>
      <c r="C73" s="15" t="inlineStr">
        <is>
          <t>Yes</t>
        </is>
      </c>
      <c r="D73" s="15" t="inlineStr">
        <is>
          <t>Skybox Packaging, LLC</t>
        </is>
      </c>
      <c r="E73" s="15" t="inlineStr">
        <is>
          <t>ICM Spring Insert</t>
        </is>
      </c>
      <c r="F73" s="15" t="inlineStr">
        <is>
          <t>Die Cut - Pricing Purposes</t>
        </is>
      </c>
      <c r="G73" s="14" t="n">
        <v>400</v>
      </c>
      <c r="H73" s="15" t="inlineStr">
        <is>
          <t>200-999</t>
        </is>
      </c>
      <c r="I73" s="15" t="inlineStr">
        <is>
          <t>400</t>
        </is>
      </c>
      <c r="J73" s="14" t="n">
        <v>1</v>
      </c>
      <c r="K73" s="14" t="n">
        <v>1</v>
      </c>
      <c r="L73" s="15" t="inlineStr">
        <is>
          <t>opt+qty</t>
        </is>
      </c>
      <c r="M73" s="15" t="inlineStr">
        <is>
          <t>None</t>
        </is>
      </c>
      <c r="N73" s="15" t="inlineStr">
        <is>
          <t>No Print</t>
        </is>
      </c>
      <c r="O73" s="15" t="inlineStr">
        <is>
          <t>CAD</t>
        </is>
      </c>
      <c r="P73" s="15" t="inlineStr">
        <is>
          <t>ECT 44 B</t>
        </is>
      </c>
      <c r="Q73" s="15" t="inlineStr">
        <is>
          <t>No</t>
        </is>
      </c>
      <c r="R73" s="16" t="n">
        <v>1462.5</v>
      </c>
      <c r="S73" s="16" t="n">
        <v>1255.07</v>
      </c>
      <c r="T73" s="16" t="n">
        <v>207.4300000000001</v>
      </c>
      <c r="U73" s="17" t="n">
        <v>16.52736500752946</v>
      </c>
      <c r="V73" s="18" t="n">
        <v>-0.1310547553824707</v>
      </c>
      <c r="W73" s="15" t="inlineStr">
        <is>
          <t>No</t>
        </is>
      </c>
      <c r="X73" s="15" t="inlineStr"/>
    </row>
    <row r="74">
      <c r="A74" s="14" t="n">
        <v>223327</v>
      </c>
      <c r="B74" s="15" t="inlineStr">
        <is>
          <t>RW-260804-155659</t>
        </is>
      </c>
      <c r="C74" s="15" t="inlineStr">
        <is>
          <t>Yes</t>
        </is>
      </c>
      <c r="D74" s="15" t="inlineStr">
        <is>
          <t>Skybox Packaging, LLC</t>
        </is>
      </c>
      <c r="E74" s="15" t="inlineStr">
        <is>
          <t>ICM Spring Insert</t>
        </is>
      </c>
      <c r="F74" s="15" t="inlineStr">
        <is>
          <t>Die Cut - Pricing Purposes</t>
        </is>
      </c>
      <c r="G74" s="14" t="n">
        <v>600</v>
      </c>
      <c r="H74" s="15" t="inlineStr">
        <is>
          <t>200-999</t>
        </is>
      </c>
      <c r="I74" s="15" t="inlineStr">
        <is>
          <t>600</t>
        </is>
      </c>
      <c r="J74" s="14" t="n">
        <v>1</v>
      </c>
      <c r="K74" s="14" t="n">
        <v>1</v>
      </c>
      <c r="L74" s="15" t="inlineStr">
        <is>
          <t>opt+qty</t>
        </is>
      </c>
      <c r="M74" s="15" t="inlineStr">
        <is>
          <t>None</t>
        </is>
      </c>
      <c r="N74" s="15" t="inlineStr">
        <is>
          <t>No Print</t>
        </is>
      </c>
      <c r="O74" s="15" t="inlineStr">
        <is>
          <t>CAD</t>
        </is>
      </c>
      <c r="P74" s="15" t="inlineStr">
        <is>
          <t>ECT 44 B</t>
        </is>
      </c>
      <c r="Q74" s="15" t="inlineStr">
        <is>
          <t>No</t>
        </is>
      </c>
      <c r="R74" s="16" t="n">
        <v>2085.77</v>
      </c>
      <c r="S74" s="16" t="n">
        <v>1544.43</v>
      </c>
      <c r="T74" s="16" t="n">
        <v>541.3399999999999</v>
      </c>
      <c r="U74" s="17" t="n">
        <v>35.05111918312905</v>
      </c>
      <c r="V74" s="18" t="n">
        <v>0.2665585825184583</v>
      </c>
      <c r="W74" s="15" t="inlineStr">
        <is>
          <t>No</t>
        </is>
      </c>
      <c r="X74" s="15" t="inlineStr"/>
    </row>
    <row r="75">
      <c r="A75" s="14" t="n">
        <v>223333</v>
      </c>
      <c r="B75" s="15" t="inlineStr">
        <is>
          <t>RW-260807-140950</t>
        </is>
      </c>
      <c r="C75" s="15" t="inlineStr">
        <is>
          <t>Yes</t>
        </is>
      </c>
      <c r="D75" s="15" t="inlineStr">
        <is>
          <t>PCA Pennsylvania Acquisition Corporation</t>
        </is>
      </c>
      <c r="E75" s="15" t="inlineStr">
        <is>
          <t>Basic Resources 0456552A</t>
        </is>
      </c>
      <c r="F75" s="15" t="inlineStr">
        <is>
          <t>Option 1</t>
        </is>
      </c>
      <c r="G75" s="14" t="n">
        <v>510</v>
      </c>
      <c r="H75" s="15" t="inlineStr">
        <is>
          <t>200-999</t>
        </is>
      </c>
      <c r="I75" s="15" t="inlineStr">
        <is>
          <t>510</t>
        </is>
      </c>
      <c r="J75" s="14" t="n">
        <v>1</v>
      </c>
      <c r="K75" s="14" t="n">
        <v>1</v>
      </c>
      <c r="L75" s="15" t="inlineStr">
        <is>
          <t>opt+qty</t>
        </is>
      </c>
      <c r="M75" s="15" t="inlineStr">
        <is>
          <t>None</t>
        </is>
      </c>
      <c r="N75" s="15" t="inlineStr">
        <is>
          <t>No Print</t>
        </is>
      </c>
      <c r="O75" s="15" t="inlineStr">
        <is>
          <t>CAD</t>
        </is>
      </c>
      <c r="P75" s="15" t="inlineStr">
        <is>
          <t>200 B</t>
        </is>
      </c>
      <c r="Q75" s="15" t="inlineStr">
        <is>
          <t>No</t>
        </is>
      </c>
      <c r="R75" s="16" t="n">
        <v>1267.62</v>
      </c>
      <c r="S75" s="16" t="n">
        <v>969.98</v>
      </c>
      <c r="T75" s="16" t="n">
        <v>297.6399999999999</v>
      </c>
      <c r="U75" s="17" t="n">
        <v>30.68516876636631</v>
      </c>
      <c r="V75" s="18" t="n">
        <v>0.1728432318469579</v>
      </c>
      <c r="W75" s="15" t="inlineStr">
        <is>
          <t>No</t>
        </is>
      </c>
      <c r="X75" s="15" t="inlineStr"/>
    </row>
    <row r="76">
      <c r="A76" s="14" t="n">
        <v>223333</v>
      </c>
      <c r="B76" s="15" t="inlineStr">
        <is>
          <t>RW-260807-140950</t>
        </is>
      </c>
      <c r="C76" s="15" t="inlineStr">
        <is>
          <t>Yes</t>
        </is>
      </c>
      <c r="D76" s="15" t="inlineStr">
        <is>
          <t>PCA Pennsylvania Acquisition Corporation</t>
        </is>
      </c>
      <c r="E76" s="15" t="inlineStr">
        <is>
          <t>Basic Resources 0456552A</t>
        </is>
      </c>
      <c r="F76" s="15" t="inlineStr">
        <is>
          <t>Option 1</t>
        </is>
      </c>
      <c r="G76" s="14" t="n">
        <v>1020</v>
      </c>
      <c r="H76" s="15" t="inlineStr">
        <is>
          <t>1000-4999</t>
        </is>
      </c>
      <c r="I76" s="15" t="inlineStr">
        <is>
          <t>1020</t>
        </is>
      </c>
      <c r="J76" s="14" t="n">
        <v>1</v>
      </c>
      <c r="K76" s="14" t="n">
        <v>1</v>
      </c>
      <c r="L76" s="15" t="inlineStr">
        <is>
          <t>opt+qty</t>
        </is>
      </c>
      <c r="M76" s="15" t="inlineStr">
        <is>
          <t>None</t>
        </is>
      </c>
      <c r="N76" s="15" t="inlineStr">
        <is>
          <t>No Print</t>
        </is>
      </c>
      <c r="O76" s="15" t="inlineStr">
        <is>
          <t>CAD</t>
        </is>
      </c>
      <c r="P76" s="15" t="inlineStr">
        <is>
          <t>200 B</t>
        </is>
      </c>
      <c r="Q76" s="15" t="inlineStr">
        <is>
          <t>No</t>
        </is>
      </c>
      <c r="R76" s="16" t="n">
        <v>2098.45</v>
      </c>
      <c r="S76" s="16" t="n">
        <v>1660.9</v>
      </c>
      <c r="T76" s="16" t="n">
        <v>437.5499999999997</v>
      </c>
      <c r="U76" s="17" t="n">
        <v>26.34415076163524</v>
      </c>
      <c r="V76" s="18" t="n">
        <v>0.07966305668447453</v>
      </c>
      <c r="W76" s="15" t="inlineStr">
        <is>
          <t>No</t>
        </is>
      </c>
      <c r="X76" s="15" t="inlineStr"/>
    </row>
    <row r="77">
      <c r="A77" s="14" t="n">
        <v>223354</v>
      </c>
      <c r="B77" s="15" t="inlineStr">
        <is>
          <t>RW-260807-141317</t>
        </is>
      </c>
      <c r="C77" s="15" t="inlineStr">
        <is>
          <t>Yes</t>
        </is>
      </c>
      <c r="D77" s="15" t="inlineStr">
        <is>
          <t>Pax Corrugated - an affiliate of Welch Packaging</t>
        </is>
      </c>
      <c r="E77" s="15" t="inlineStr">
        <is>
          <t>Gorilla Glue 115470</t>
        </is>
      </c>
      <c r="F77" s="15" t="inlineStr">
        <is>
          <t>Option 1</t>
        </is>
      </c>
      <c r="G77" s="14" t="n">
        <v>90</v>
      </c>
      <c r="H77" s="15" t="inlineStr">
        <is>
          <t>50-199</t>
        </is>
      </c>
      <c r="I77" s="15" t="inlineStr">
        <is>
          <t>90</t>
        </is>
      </c>
      <c r="J77" s="14" t="n">
        <v>1</v>
      </c>
      <c r="K77" s="14" t="n">
        <v>1</v>
      </c>
      <c r="L77" s="15" t="inlineStr">
        <is>
          <t>opt+qty</t>
        </is>
      </c>
      <c r="M77" s="15" t="inlineStr">
        <is>
          <t>Gloss</t>
        </is>
      </c>
      <c r="N77" s="15" t="inlineStr">
        <is>
          <t>Print</t>
        </is>
      </c>
      <c r="O77" s="15" t="inlineStr">
        <is>
          <t>CAD</t>
        </is>
      </c>
      <c r="P77" s="15" t="inlineStr">
        <is>
          <t>200 B</t>
        </is>
      </c>
      <c r="Q77" s="15" t="inlineStr">
        <is>
          <t>No</t>
        </is>
      </c>
      <c r="R77" s="16" t="n">
        <v>871.52</v>
      </c>
      <c r="S77" s="16" t="n">
        <v>824.23</v>
      </c>
      <c r="T77" s="16" t="n">
        <v>47.28999999999996</v>
      </c>
      <c r="U77" s="17" t="n">
        <v>5.737476189898446</v>
      </c>
      <c r="V77" s="18" t="n">
        <v>-0.3626602748515992</v>
      </c>
      <c r="W77" s="15" t="inlineStr">
        <is>
          <t>No</t>
        </is>
      </c>
      <c r="X77" s="15" t="inlineStr"/>
    </row>
    <row r="78">
      <c r="A78" s="14" t="n">
        <v>223376</v>
      </c>
      <c r="B78" s="15" t="inlineStr">
        <is>
          <t>RW-260629-134103</t>
        </is>
      </c>
      <c r="C78" s="15" t="inlineStr">
        <is>
          <t>Yes</t>
        </is>
      </c>
      <c r="D78" s="15" t="inlineStr">
        <is>
          <t>PCA - Ashland</t>
        </is>
      </c>
      <c r="E78" s="15" t="inlineStr">
        <is>
          <t>MPC - Meijer Iams</t>
        </is>
      </c>
      <c r="F78" s="15" t="inlineStr">
        <is>
          <t>Option 1</t>
        </is>
      </c>
      <c r="G78" s="14" t="n">
        <v>150</v>
      </c>
      <c r="H78" s="15" t="inlineStr">
        <is>
          <t>50-199</t>
        </is>
      </c>
      <c r="I78" s="15" t="inlineStr">
        <is>
          <t>75-150</t>
        </is>
      </c>
      <c r="J78" s="14" t="n">
        <v>2</v>
      </c>
      <c r="K78" s="14" t="n">
        <v>2</v>
      </c>
      <c r="L78" s="15" t="inlineStr">
        <is>
          <t>opt+qty</t>
        </is>
      </c>
      <c r="M78" s="15" t="inlineStr">
        <is>
          <t>Gloss</t>
        </is>
      </c>
      <c r="N78" s="15" t="inlineStr">
        <is>
          <t>Print</t>
        </is>
      </c>
      <c r="O78" s="15" t="inlineStr">
        <is>
          <t>CAD</t>
        </is>
      </c>
      <c r="P78" s="15" t="inlineStr">
        <is>
          <t>200 B</t>
        </is>
      </c>
      <c r="Q78" s="15" t="inlineStr">
        <is>
          <t>No</t>
        </is>
      </c>
      <c r="R78" s="16" t="n">
        <v>3504.9</v>
      </c>
      <c r="S78" s="16" t="n">
        <v>3134.12</v>
      </c>
      <c r="T78" s="16" t="n">
        <v>370.7800000000002</v>
      </c>
      <c r="U78" s="17" t="n">
        <v>11.8304340612357</v>
      </c>
      <c r="V78" s="18" t="n">
        <v>-0.2318746201756497</v>
      </c>
      <c r="W78" s="15" t="inlineStr">
        <is>
          <t>No</t>
        </is>
      </c>
      <c r="X78" s="15" t="inlineStr"/>
    </row>
    <row r="79">
      <c r="A79" s="14" t="n">
        <v>223389</v>
      </c>
      <c r="B79" s="15" t="inlineStr">
        <is>
          <t>RW-260629-132636</t>
        </is>
      </c>
      <c r="C79" s="15" t="inlineStr">
        <is>
          <t>No</t>
        </is>
      </c>
      <c r="D79" s="15" t="inlineStr">
        <is>
          <t>Skybox Packaging, LLC</t>
        </is>
      </c>
      <c r="E79" s="15" t="inlineStr">
        <is>
          <t>PKG153007274 DLN29676</t>
        </is>
      </c>
      <c r="F79" s="15" t="inlineStr">
        <is>
          <t>Option 1</t>
        </is>
      </c>
      <c r="G79" s="14" t="n">
        <v>1700</v>
      </c>
      <c r="H79" s="15" t="inlineStr">
        <is>
          <t>1000-4999</t>
        </is>
      </c>
      <c r="I79" s="15" t="inlineStr">
        <is>
          <t>1700</t>
        </is>
      </c>
      <c r="J79" s="14" t="n">
        <v>1</v>
      </c>
      <c r="K79" s="14" t="n">
        <v>1</v>
      </c>
      <c r="L79" s="15" t="inlineStr">
        <is>
          <t>opt+qty</t>
        </is>
      </c>
      <c r="M79" s="15" t="inlineStr">
        <is>
          <t>None</t>
        </is>
      </c>
      <c r="N79" s="15" t="inlineStr">
        <is>
          <t>No Print</t>
        </is>
      </c>
      <c r="O79" s="15" t="inlineStr">
        <is>
          <t>CAD</t>
        </is>
      </c>
      <c r="P79" s="15" t="inlineStr">
        <is>
          <t>ECT 32 B</t>
        </is>
      </c>
      <c r="Q79" s="15" t="inlineStr">
        <is>
          <t>No</t>
        </is>
      </c>
      <c r="R79" s="16" t="n">
        <v>2768.73</v>
      </c>
      <c r="S79" s="16" t="n">
        <v>4029.71</v>
      </c>
      <c r="T79" s="16" t="n">
        <v>-1260.98</v>
      </c>
      <c r="U79" s="17" t="n">
        <v>-31.29207808998662</v>
      </c>
      <c r="V79" s="18" t="n">
        <v>-1.157501565587534</v>
      </c>
      <c r="W79" s="15" t="inlineStr">
        <is>
          <t>No</t>
        </is>
      </c>
      <c r="X79" s="15" t="inlineStr"/>
    </row>
    <row r="80">
      <c r="A80" s="14" t="n">
        <v>223393</v>
      </c>
      <c r="B80" s="15" t="inlineStr">
        <is>
          <t>RW-260804-132826</t>
        </is>
      </c>
      <c r="C80" s="15" t="inlineStr">
        <is>
          <t>Yes</t>
        </is>
      </c>
      <c r="D80" s="15" t="inlineStr">
        <is>
          <t>Spring Cove Container, Inc</t>
        </is>
      </c>
      <c r="E80" s="15" t="inlineStr">
        <is>
          <t>Whirlpool Press Sheet</t>
        </is>
      </c>
      <c r="F80" s="15" t="inlineStr">
        <is>
          <t>Option 1</t>
        </is>
      </c>
      <c r="G80" s="14" t="n">
        <v>230</v>
      </c>
      <c r="H80" s="15" t="inlineStr">
        <is>
          <t>200-999</t>
        </is>
      </c>
      <c r="I80" s="15" t="inlineStr">
        <is>
          <t>230</t>
        </is>
      </c>
      <c r="J80" s="14" t="n">
        <v>1</v>
      </c>
      <c r="K80" s="14" t="n">
        <v>1</v>
      </c>
      <c r="L80" s="15" t="inlineStr">
        <is>
          <t>opt+qty</t>
        </is>
      </c>
      <c r="M80" s="15" t="inlineStr">
        <is>
          <t>Gloss</t>
        </is>
      </c>
      <c r="N80" s="15" t="inlineStr">
        <is>
          <t>Print</t>
        </is>
      </c>
      <c r="O80" s="15" t="inlineStr">
        <is>
          <t>CAD</t>
        </is>
      </c>
      <c r="P80" s="15" t="inlineStr">
        <is>
          <t>200 B</t>
        </is>
      </c>
      <c r="Q80" s="15" t="inlineStr">
        <is>
          <t>No</t>
        </is>
      </c>
      <c r="R80" s="16" t="n">
        <v>1664.9</v>
      </c>
      <c r="S80" s="16" t="n">
        <v>1387.27</v>
      </c>
      <c r="T80" s="16" t="n">
        <v>277.6300000000001</v>
      </c>
      <c r="U80" s="17" t="n">
        <v>20.01268678771978</v>
      </c>
      <c r="V80" s="18" t="n">
        <v>-0.0562421437734408</v>
      </c>
      <c r="W80" s="15" t="inlineStr">
        <is>
          <t>No</t>
        </is>
      </c>
      <c r="X80" s="15" t="inlineStr"/>
    </row>
    <row r="81">
      <c r="A81" s="14" t="n">
        <v>223408</v>
      </c>
      <c r="B81" s="15" t="inlineStr">
        <is>
          <t>RW-260629-131349</t>
        </is>
      </c>
      <c r="C81" s="15" t="inlineStr">
        <is>
          <t>No</t>
        </is>
      </c>
      <c r="D81" s="15" t="inlineStr">
        <is>
          <t>L&amp;M Corrugated Container Corporation</t>
        </is>
      </c>
      <c r="E81" s="15" t="inlineStr">
        <is>
          <t>Project ID#128013</t>
        </is>
      </c>
      <c r="F81" s="15" t="inlineStr">
        <is>
          <t>Option 1</t>
        </is>
      </c>
      <c r="G81" s="14" t="n">
        <v>525</v>
      </c>
      <c r="H81" s="15" t="inlineStr">
        <is>
          <t>200-999</t>
        </is>
      </c>
      <c r="I81" s="15" t="inlineStr">
        <is>
          <t>525</t>
        </is>
      </c>
      <c r="J81" s="14" t="n">
        <v>1</v>
      </c>
      <c r="K81" s="14" t="n">
        <v>1</v>
      </c>
      <c r="L81" s="15" t="inlineStr">
        <is>
          <t>opt+qty</t>
        </is>
      </c>
      <c r="M81" s="15" t="inlineStr">
        <is>
          <t>Satin</t>
        </is>
      </c>
      <c r="N81" s="15" t="inlineStr">
        <is>
          <t>Print</t>
        </is>
      </c>
      <c r="O81" s="15" t="inlineStr">
        <is>
          <t>CAD</t>
        </is>
      </c>
      <c r="P81" s="15" t="inlineStr">
        <is>
          <t>200 B</t>
        </is>
      </c>
      <c r="Q81" s="15" t="inlineStr">
        <is>
          <t>No</t>
        </is>
      </c>
      <c r="R81" s="16" t="n">
        <v>2634.69</v>
      </c>
      <c r="S81" s="16" t="n">
        <v>2452.48</v>
      </c>
      <c r="T81" s="16" t="n">
        <v>182.21</v>
      </c>
      <c r="U81" s="17" t="n">
        <v>7.429622259916494</v>
      </c>
      <c r="V81" s="18" t="n">
        <v>-0.3263382722630479</v>
      </c>
      <c r="W81" s="15" t="inlineStr">
        <is>
          <t>No</t>
        </is>
      </c>
      <c r="X81" s="15" t="inlineStr"/>
    </row>
    <row r="82">
      <c r="A82" s="14" t="n">
        <v>223454</v>
      </c>
      <c r="B82" s="15" t="inlineStr">
        <is>
          <t>RW-260727-101129</t>
        </is>
      </c>
      <c r="C82" s="15" t="inlineStr">
        <is>
          <t>Yes</t>
        </is>
      </c>
      <c r="D82" s="15" t="inlineStr">
        <is>
          <t>PCA - Akron</t>
        </is>
      </c>
      <c r="E82" s="15" t="inlineStr">
        <is>
          <t>8FT LED Tubes / 95053687</t>
        </is>
      </c>
      <c r="F82" s="15" t="inlineStr">
        <is>
          <t>Option 1 - D/C</t>
        </is>
      </c>
      <c r="G82" s="14" t="n">
        <v>220</v>
      </c>
      <c r="H82" s="15" t="inlineStr">
        <is>
          <t>200-999</t>
        </is>
      </c>
      <c r="I82" s="15" t="inlineStr">
        <is>
          <t>220</t>
        </is>
      </c>
      <c r="J82" s="14" t="n">
        <v>1</v>
      </c>
      <c r="K82" s="14" t="n">
        <v>1</v>
      </c>
      <c r="L82" s="15" t="inlineStr">
        <is>
          <t>opt+qty</t>
        </is>
      </c>
      <c r="M82" s="15" t="inlineStr">
        <is>
          <t>Satin</t>
        </is>
      </c>
      <c r="N82" s="15" t="inlineStr">
        <is>
          <t>Print</t>
        </is>
      </c>
      <c r="O82" s="15" t="inlineStr">
        <is>
          <t>Crest</t>
        </is>
      </c>
      <c r="P82" s="15" t="inlineStr">
        <is>
          <t>200 B</t>
        </is>
      </c>
      <c r="Q82" s="15" t="inlineStr">
        <is>
          <t>No</t>
        </is>
      </c>
      <c r="R82" s="16" t="n">
        <v>7204.4</v>
      </c>
      <c r="S82" s="16" t="n">
        <v>6164.32</v>
      </c>
      <c r="T82" s="16" t="n">
        <v>1040.08</v>
      </c>
      <c r="U82" s="17" t="n">
        <v>16.87258286396553</v>
      </c>
      <c r="V82" s="18" t="n">
        <v>-0.1236446363051318</v>
      </c>
      <c r="W82" s="15" t="inlineStr">
        <is>
          <t>No</t>
        </is>
      </c>
      <c r="X82" s="15" t="inlineStr"/>
    </row>
    <row r="83">
      <c r="A83" s="14" t="n">
        <v>223486</v>
      </c>
      <c r="B83" s="15" t="inlineStr">
        <is>
          <t>RW-260727-095102</t>
        </is>
      </c>
      <c r="C83" s="15" t="inlineStr">
        <is>
          <t>Yes</t>
        </is>
      </c>
      <c r="D83" s="15" t="inlineStr">
        <is>
          <t>Skybox Packaging, LLC</t>
        </is>
      </c>
      <c r="E83" s="15" t="inlineStr">
        <is>
          <t>Z109871-1 / Mettler-Toledo</t>
        </is>
      </c>
      <c r="F83" s="15" t="inlineStr">
        <is>
          <t>Option 1</t>
        </is>
      </c>
      <c r="G83" s="14" t="n">
        <v>50</v>
      </c>
      <c r="H83" s="15" t="inlineStr">
        <is>
          <t>50-199</t>
        </is>
      </c>
      <c r="I83" s="15" t="inlineStr">
        <is>
          <t>50</t>
        </is>
      </c>
      <c r="J83" s="14" t="n">
        <v>1</v>
      </c>
      <c r="K83" s="14" t="n">
        <v>1</v>
      </c>
      <c r="L83" s="15" t="inlineStr">
        <is>
          <t>opt+qty</t>
        </is>
      </c>
      <c r="M83" s="15" t="inlineStr">
        <is>
          <t>None</t>
        </is>
      </c>
      <c r="N83" s="15" t="inlineStr">
        <is>
          <t>No Print</t>
        </is>
      </c>
      <c r="O83" s="15" t="inlineStr">
        <is>
          <t>CAD</t>
        </is>
      </c>
      <c r="P83" s="15" t="inlineStr">
        <is>
          <t>ECT 51 B/C</t>
        </is>
      </c>
      <c r="Q83" s="15" t="inlineStr">
        <is>
          <t>No</t>
        </is>
      </c>
      <c r="R83" s="16" t="n">
        <v>255.63</v>
      </c>
      <c r="S83" s="16" t="n">
        <v>248.28</v>
      </c>
      <c r="T83" s="16" t="n">
        <v>7.349999999999994</v>
      </c>
      <c r="U83" s="17" t="n">
        <v>2.960367327211211</v>
      </c>
      <c r="V83" s="18" t="n">
        <v>-0.4222710596924957</v>
      </c>
      <c r="W83" s="15" t="inlineStr">
        <is>
          <t>No</t>
        </is>
      </c>
      <c r="X83" s="15" t="inlineStr"/>
    </row>
    <row r="84">
      <c r="A84" s="14" t="n">
        <v>223488</v>
      </c>
      <c r="B84" s="15" t="inlineStr">
        <is>
          <t>RW-260706-094426</t>
        </is>
      </c>
      <c r="C84" s="15" t="inlineStr">
        <is>
          <t>No</t>
        </is>
      </c>
      <c r="D84" s="15" t="inlineStr">
        <is>
          <t>Skybox Packaging, LLC</t>
        </is>
      </c>
      <c r="E84" s="15" t="inlineStr">
        <is>
          <t>Kent Displays Mailer &amp; Insert</t>
        </is>
      </c>
      <c r="F84" s="15" t="inlineStr">
        <is>
          <t>CAD Cut - No Print|CAD Cut Print 1 Side|CAD Cut Print 2 Sides|Die Cut - No Print|Die Cut Print 1 Side|Die Cut Print 2 Sides</t>
        </is>
      </c>
      <c r="G84" s="14" t="n">
        <v>300</v>
      </c>
      <c r="H84" s="15" t="inlineStr">
        <is>
          <t>200-999</t>
        </is>
      </c>
      <c r="I84" s="15" t="inlineStr">
        <is>
          <t>300</t>
        </is>
      </c>
      <c r="J84" s="14" t="n">
        <v>6</v>
      </c>
      <c r="K84" s="14" t="n">
        <v>6</v>
      </c>
      <c r="L84" s="15" t="inlineStr">
        <is>
          <t>opt+qty</t>
        </is>
      </c>
      <c r="M84" s="15" t="inlineStr">
        <is>
          <t>Satin</t>
        </is>
      </c>
      <c r="N84" s="15" t="inlineStr">
        <is>
          <t>Print</t>
        </is>
      </c>
      <c r="O84" s="15" t="inlineStr">
        <is>
          <t>CAD</t>
        </is>
      </c>
      <c r="P84" s="15" t="inlineStr">
        <is>
          <t>ECT 44 B</t>
        </is>
      </c>
      <c r="Q84" s="15" t="inlineStr">
        <is>
          <t>No</t>
        </is>
      </c>
      <c r="R84" s="16" t="n">
        <v>11777.95</v>
      </c>
      <c r="S84" s="16" t="n">
        <v>11498.62</v>
      </c>
      <c r="T84" s="16" t="n">
        <v>279.3300000000017</v>
      </c>
      <c r="U84" s="17" t="n">
        <v>2.429248031502926</v>
      </c>
      <c r="V84" s="18" t="n">
        <v>-0.43367156274324</v>
      </c>
      <c r="W84" s="15" t="inlineStr">
        <is>
          <t>No</t>
        </is>
      </c>
      <c r="X84" s="15" t="inlineStr">
        <is>
          <t xml:space="preserve">Just sum up all components in iQuote sheet for this estimate to compare to the 11777.95 quote total in spot | Just sum up all components in iQuote sheet for this estimate to compare to the 11777.95 quote total in spot | Just sum up all components in </t>
        </is>
      </c>
    </row>
    <row r="85">
      <c r="A85" s="14" t="n">
        <v>223498</v>
      </c>
      <c r="B85" s="15" t="inlineStr">
        <is>
          <t>RW-260706-110912</t>
        </is>
      </c>
      <c r="C85" s="15" t="inlineStr">
        <is>
          <t>No</t>
        </is>
      </c>
      <c r="D85" s="15" t="inlineStr">
        <is>
          <t>Apex Display Group</t>
        </is>
      </c>
      <c r="E85" s="15" t="inlineStr">
        <is>
          <t>48 Count Nacho Fiesta</t>
        </is>
      </c>
      <c r="F85" s="15" t="inlineStr">
        <is>
          <t>Option 1</t>
        </is>
      </c>
      <c r="G85" s="14" t="n">
        <v>250</v>
      </c>
      <c r="H85" s="15" t="inlineStr">
        <is>
          <t>200-999</t>
        </is>
      </c>
      <c r="I85" s="15" t="inlineStr">
        <is>
          <t>250</t>
        </is>
      </c>
      <c r="J85" s="14" t="n">
        <v>1</v>
      </c>
      <c r="K85" s="14" t="n">
        <v>1</v>
      </c>
      <c r="L85" s="15" t="inlineStr">
        <is>
          <t>opt+qty</t>
        </is>
      </c>
      <c r="M85" s="15" t="inlineStr">
        <is>
          <t>Gloss</t>
        </is>
      </c>
      <c r="N85" s="15" t="inlineStr">
        <is>
          <t>Print</t>
        </is>
      </c>
      <c r="O85" s="15" t="inlineStr">
        <is>
          <t>CAD</t>
        </is>
      </c>
      <c r="P85" s="15" t="inlineStr">
        <is>
          <t>ECT 32 B</t>
        </is>
      </c>
      <c r="Q85" s="15" t="inlineStr">
        <is>
          <t>No</t>
        </is>
      </c>
      <c r="R85" s="16" t="n">
        <v>991.12</v>
      </c>
      <c r="S85" s="16" t="n">
        <v>818.97</v>
      </c>
      <c r="T85" s="16" t="n">
        <v>172.15</v>
      </c>
      <c r="U85" s="17" t="n">
        <v>21.02030599411455</v>
      </c>
      <c r="V85" s="18" t="n">
        <v>-0.03461354558596</v>
      </c>
      <c r="W85" s="15" t="inlineStr">
        <is>
          <t>No</t>
        </is>
      </c>
      <c r="X85" s="15" t="inlineStr"/>
    </row>
    <row r="86">
      <c r="A86" s="14" t="n">
        <v>223498</v>
      </c>
      <c r="B86" s="15" t="inlineStr">
        <is>
          <t>RW-260706-110912</t>
        </is>
      </c>
      <c r="C86" s="15" t="inlineStr">
        <is>
          <t>No</t>
        </is>
      </c>
      <c r="D86" s="15" t="inlineStr">
        <is>
          <t>Apex Display Group</t>
        </is>
      </c>
      <c r="E86" s="15" t="inlineStr">
        <is>
          <t>48 Count Nacho Fiesta</t>
        </is>
      </c>
      <c r="F86" s="15" t="inlineStr">
        <is>
          <t>Option 1</t>
        </is>
      </c>
      <c r="G86" s="14" t="n">
        <v>350</v>
      </c>
      <c r="H86" s="15" t="inlineStr">
        <is>
          <t>200-999</t>
        </is>
      </c>
      <c r="I86" s="15" t="inlineStr">
        <is>
          <t>350</t>
        </is>
      </c>
      <c r="J86" s="14" t="n">
        <v>1</v>
      </c>
      <c r="K86" s="14" t="n">
        <v>1</v>
      </c>
      <c r="L86" s="15" t="inlineStr">
        <is>
          <t>opt+qty</t>
        </is>
      </c>
      <c r="M86" s="15" t="inlineStr">
        <is>
          <t>Gloss</t>
        </is>
      </c>
      <c r="N86" s="15" t="inlineStr">
        <is>
          <t>Print</t>
        </is>
      </c>
      <c r="O86" s="15" t="inlineStr">
        <is>
          <t>CAD</t>
        </is>
      </c>
      <c r="P86" s="15" t="inlineStr">
        <is>
          <t>ECT 32 B</t>
        </is>
      </c>
      <c r="Q86" s="15" t="inlineStr">
        <is>
          <t>No</t>
        </is>
      </c>
      <c r="R86" s="16" t="n">
        <v>1208.46</v>
      </c>
      <c r="S86" s="16" t="n">
        <v>958.6</v>
      </c>
      <c r="T86" s="16" t="n">
        <v>249.86</v>
      </c>
      <c r="U86" s="17" t="n">
        <v>26.06509493010641</v>
      </c>
      <c r="V86" s="18" t="n">
        <v>0.07367310888107222</v>
      </c>
      <c r="W86" s="15" t="inlineStr">
        <is>
          <t>No</t>
        </is>
      </c>
      <c r="X86" s="15" t="inlineStr"/>
    </row>
    <row r="87">
      <c r="A87" s="14" t="n">
        <v>223498</v>
      </c>
      <c r="B87" s="15" t="inlineStr">
        <is>
          <t>RW-260706-110912</t>
        </is>
      </c>
      <c r="C87" s="15" t="inlineStr">
        <is>
          <t>No</t>
        </is>
      </c>
      <c r="D87" s="15" t="inlineStr">
        <is>
          <t>Apex Display Group</t>
        </is>
      </c>
      <c r="E87" s="15" t="inlineStr">
        <is>
          <t>48 Count Nacho Fiesta</t>
        </is>
      </c>
      <c r="F87" s="15" t="inlineStr">
        <is>
          <t>Option 1</t>
        </is>
      </c>
      <c r="G87" s="14" t="n">
        <v>500</v>
      </c>
      <c r="H87" s="15" t="inlineStr">
        <is>
          <t>200-999</t>
        </is>
      </c>
      <c r="I87" s="15" t="inlineStr">
        <is>
          <t>500</t>
        </is>
      </c>
      <c r="J87" s="14" t="n">
        <v>1</v>
      </c>
      <c r="K87" s="14" t="n">
        <v>1</v>
      </c>
      <c r="L87" s="15" t="inlineStr">
        <is>
          <t>opt+qty</t>
        </is>
      </c>
      <c r="M87" s="15" t="inlineStr">
        <is>
          <t>Gloss</t>
        </is>
      </c>
      <c r="N87" s="15" t="inlineStr">
        <is>
          <t>Print</t>
        </is>
      </c>
      <c r="O87" s="15" t="inlineStr">
        <is>
          <t>CAD</t>
        </is>
      </c>
      <c r="P87" s="15" t="inlineStr">
        <is>
          <t>ECT 32 B</t>
        </is>
      </c>
      <c r="Q87" s="15" t="inlineStr">
        <is>
          <t>No</t>
        </is>
      </c>
      <c r="R87" s="16" t="n">
        <v>1478.65</v>
      </c>
      <c r="S87" s="16" t="n">
        <v>1168.02</v>
      </c>
      <c r="T87" s="16" t="n">
        <v>310.6300000000001</v>
      </c>
      <c r="U87" s="17" t="n">
        <v>26.59457885995104</v>
      </c>
      <c r="V87" s="18" t="n">
        <v>0.08503850871928349</v>
      </c>
      <c r="W87" s="15" t="inlineStr">
        <is>
          <t>No</t>
        </is>
      </c>
      <c r="X87" s="15" t="inlineStr"/>
    </row>
    <row r="88">
      <c r="A88" s="14" t="n">
        <v>223498</v>
      </c>
      <c r="B88" s="15" t="inlineStr">
        <is>
          <t>RW-260706-110912</t>
        </is>
      </c>
      <c r="C88" s="15" t="inlineStr">
        <is>
          <t>No</t>
        </is>
      </c>
      <c r="D88" s="15" t="inlineStr">
        <is>
          <t>Apex Display Group</t>
        </is>
      </c>
      <c r="E88" s="15" t="inlineStr">
        <is>
          <t>48 Count Nacho Fiesta</t>
        </is>
      </c>
      <c r="F88" s="15" t="inlineStr">
        <is>
          <t>Option 1</t>
        </is>
      </c>
      <c r="G88" s="14" t="n">
        <v>750</v>
      </c>
      <c r="H88" s="15" t="inlineStr">
        <is>
          <t>200-999</t>
        </is>
      </c>
      <c r="I88" s="15" t="inlineStr">
        <is>
          <t>750</t>
        </is>
      </c>
      <c r="J88" s="14" t="n">
        <v>1</v>
      </c>
      <c r="K88" s="14" t="n">
        <v>1</v>
      </c>
      <c r="L88" s="15" t="inlineStr">
        <is>
          <t>opt+qty</t>
        </is>
      </c>
      <c r="M88" s="15" t="inlineStr">
        <is>
          <t>Gloss</t>
        </is>
      </c>
      <c r="N88" s="15" t="inlineStr">
        <is>
          <t>Print</t>
        </is>
      </c>
      <c r="O88" s="15" t="inlineStr">
        <is>
          <t>CAD</t>
        </is>
      </c>
      <c r="P88" s="15" t="inlineStr">
        <is>
          <t>ECT 32 B</t>
        </is>
      </c>
      <c r="Q88" s="15" t="inlineStr">
        <is>
          <t>No</t>
        </is>
      </c>
      <c r="R88" s="16" t="n">
        <v>1565.74</v>
      </c>
      <c r="S88" s="16" t="n">
        <v>1517.07</v>
      </c>
      <c r="T88" s="16" t="n">
        <v>48.67000000000007</v>
      </c>
      <c r="U88" s="17" t="n">
        <v>3.208157830554956</v>
      </c>
      <c r="V88" s="18" t="n">
        <v>-0.4169522237696761</v>
      </c>
      <c r="W88" s="15" t="inlineStr">
        <is>
          <t>No</t>
        </is>
      </c>
      <c r="X88" s="15" t="inlineStr"/>
    </row>
    <row r="89">
      <c r="A89" s="14" t="n">
        <v>223538</v>
      </c>
      <c r="B89" s="15" t="inlineStr">
        <is>
          <t>RW-260727-093930</t>
        </is>
      </c>
      <c r="C89" s="15" t="inlineStr">
        <is>
          <t>Yes</t>
        </is>
      </c>
      <c r="D89" s="15" t="inlineStr">
        <is>
          <t>PCA - New Oxford</t>
        </is>
      </c>
      <c r="E89" s="15" t="inlineStr">
        <is>
          <t>Natures Bounty Tray &amp; Graphic Block - J58302</t>
        </is>
      </c>
      <c r="F89" s="15" t="inlineStr">
        <is>
          <t>CAD Cut ALL</t>
        </is>
      </c>
      <c r="G89" s="14" t="n">
        <v>350</v>
      </c>
      <c r="H89" s="15" t="inlineStr">
        <is>
          <t>200-999</t>
        </is>
      </c>
      <c r="I89" s="15" t="inlineStr">
        <is>
          <t>350</t>
        </is>
      </c>
      <c r="J89" s="14" t="n">
        <v>2</v>
      </c>
      <c r="K89" s="14" t="n">
        <v>2</v>
      </c>
      <c r="L89" s="15" t="inlineStr">
        <is>
          <t>opt+qty</t>
        </is>
      </c>
      <c r="M89" s="15" t="inlineStr">
        <is>
          <t>Satin</t>
        </is>
      </c>
      <c r="N89" s="15" t="inlineStr">
        <is>
          <t>Print</t>
        </is>
      </c>
      <c r="O89" s="15" t="inlineStr">
        <is>
          <t>CAD</t>
        </is>
      </c>
      <c r="P89" s="15" t="inlineStr">
        <is>
          <t>200 B</t>
        </is>
      </c>
      <c r="Q89" s="15" t="inlineStr">
        <is>
          <t>No</t>
        </is>
      </c>
      <c r="R89" s="16" t="n">
        <v>6388.32</v>
      </c>
      <c r="S89" s="16" t="n">
        <v>6766.74</v>
      </c>
      <c r="T89" s="16" t="n">
        <v>-378.4200000000001</v>
      </c>
      <c r="U89" s="17" t="n">
        <v>-5.59235318632015</v>
      </c>
      <c r="V89" s="18" t="n">
        <v>-0.6058556462337321</v>
      </c>
      <c r="W89" s="15" t="inlineStr">
        <is>
          <t>No</t>
        </is>
      </c>
      <c r="X89" s="15" t="inlineStr"/>
    </row>
    <row r="90">
      <c r="A90" s="14" t="n">
        <v>223575</v>
      </c>
      <c r="B90" s="15" t="inlineStr">
        <is>
          <t>RW-260727-144121</t>
        </is>
      </c>
      <c r="C90" s="15" t="inlineStr">
        <is>
          <t>Yes</t>
        </is>
      </c>
      <c r="D90" s="15" t="inlineStr">
        <is>
          <t>Skybox Packaging, LLC</t>
        </is>
      </c>
      <c r="E90" s="15" t="inlineStr">
        <is>
          <t>ICM Distributing Company Header</t>
        </is>
      </c>
      <c r="F90" s="15" t="inlineStr">
        <is>
          <t>Option 1</t>
        </is>
      </c>
      <c r="G90" s="14" t="n">
        <v>500</v>
      </c>
      <c r="H90" s="15" t="inlineStr">
        <is>
          <t>200-999</t>
        </is>
      </c>
      <c r="I90" s="15" t="inlineStr">
        <is>
          <t>500</t>
        </is>
      </c>
      <c r="J90" s="14" t="n">
        <v>1</v>
      </c>
      <c r="K90" s="14" t="n">
        <v>1</v>
      </c>
      <c r="L90" s="15" t="inlineStr">
        <is>
          <t>opt+qty</t>
        </is>
      </c>
      <c r="M90" s="15" t="inlineStr">
        <is>
          <t>Satin</t>
        </is>
      </c>
      <c r="N90" s="15" t="inlineStr">
        <is>
          <t>Print</t>
        </is>
      </c>
      <c r="O90" s="15" t="inlineStr">
        <is>
          <t>CAD</t>
        </is>
      </c>
      <c r="P90" s="15" t="inlineStr">
        <is>
          <t>ECT 32 B</t>
        </is>
      </c>
      <c r="Q90" s="15" t="inlineStr">
        <is>
          <t>No</t>
        </is>
      </c>
      <c r="R90" s="16" t="n">
        <v>1259.41</v>
      </c>
      <c r="S90" s="16" t="n">
        <v>985.09</v>
      </c>
      <c r="T90" s="16" t="n">
        <v>274.3200000000001</v>
      </c>
      <c r="U90" s="17" t="n">
        <v>27.8472017785177</v>
      </c>
      <c r="V90" s="18" t="n">
        <v>0.1119261242134777</v>
      </c>
      <c r="W90" s="15" t="inlineStr">
        <is>
          <t>No</t>
        </is>
      </c>
      <c r="X90" s="15" t="inlineStr"/>
    </row>
    <row r="91">
      <c r="A91" s="14" t="n">
        <v>223583</v>
      </c>
      <c r="B91" s="15" t="inlineStr">
        <is>
          <t>RW-260722-092124</t>
        </is>
      </c>
      <c r="C91" s="15" t="inlineStr">
        <is>
          <t>Yes</t>
        </is>
      </c>
      <c r="D91" s="15" t="inlineStr">
        <is>
          <t>PCA - New Oxford</t>
        </is>
      </c>
      <c r="E91" s="15" t="inlineStr">
        <is>
          <t>J63068 - Moen Lowes Prepacks (Project 7655)</t>
        </is>
      </c>
      <c r="F91" s="15" t="inlineStr">
        <is>
          <t>Option 1</t>
        </is>
      </c>
      <c r="G91" s="14" t="n">
        <v>1751</v>
      </c>
      <c r="H91" s="15" t="inlineStr">
        <is>
          <t>1000-4999</t>
        </is>
      </c>
      <c r="I91" s="15" t="inlineStr">
        <is>
          <t>919-1751</t>
        </is>
      </c>
      <c r="J91" s="14" t="n">
        <v>2</v>
      </c>
      <c r="K91" s="14" t="n">
        <v>1</v>
      </c>
      <c r="L91" s="15" t="inlineStr">
        <is>
          <t>opt+qty</t>
        </is>
      </c>
      <c r="M91" s="15" t="inlineStr">
        <is>
          <t>Gloss</t>
        </is>
      </c>
      <c r="N91" s="15" t="inlineStr">
        <is>
          <t>Print</t>
        </is>
      </c>
      <c r="O91" s="15" t="inlineStr">
        <is>
          <t>CAD</t>
        </is>
      </c>
      <c r="P91" s="15" t="inlineStr">
        <is>
          <t>200 E</t>
        </is>
      </c>
      <c r="Q91" s="15" t="inlineStr">
        <is>
          <t>No</t>
        </is>
      </c>
      <c r="R91" s="16" t="n">
        <v>9256.790000000001</v>
      </c>
      <c r="S91" s="16" t="n">
        <v>6590.63</v>
      </c>
      <c r="T91" s="16" t="n">
        <v>2666.160000000001</v>
      </c>
      <c r="U91" s="17" t="n">
        <v>40.45379576762769</v>
      </c>
      <c r="V91" s="18" t="n">
        <v>0.3825273138024969</v>
      </c>
      <c r="W91" s="15" t="inlineStr">
        <is>
          <t>No</t>
        </is>
      </c>
      <c r="X91" s="15" t="inlineStr">
        <is>
          <t>I don't know why iQuote is so much more expensive | I don't know why iQuote is so much more expensive</t>
        </is>
      </c>
    </row>
    <row r="92">
      <c r="A92" s="14" t="n">
        <v>223590</v>
      </c>
      <c r="B92" s="15" t="inlineStr">
        <is>
          <t>RW-260727-090826</t>
        </is>
      </c>
      <c r="C92" s="15" t="inlineStr">
        <is>
          <t>Yes</t>
        </is>
      </c>
      <c r="D92" s="15" t="inlineStr">
        <is>
          <t>PCA - Akron</t>
        </is>
      </c>
      <c r="E92" s="15" t="inlineStr">
        <is>
          <t>Power Prep Mixer 01.27.2025</t>
        </is>
      </c>
      <c r="F92" s="15" t="inlineStr">
        <is>
          <t>Option 1</t>
        </is>
      </c>
      <c r="G92" s="14" t="n">
        <v>50</v>
      </c>
      <c r="H92" s="15" t="inlineStr">
        <is>
          <t>50-199</t>
        </is>
      </c>
      <c r="I92" s="15" t="inlineStr">
        <is>
          <t>50</t>
        </is>
      </c>
      <c r="J92" s="14" t="n">
        <v>1</v>
      </c>
      <c r="K92" s="14" t="n">
        <v>1</v>
      </c>
      <c r="L92" s="15" t="inlineStr">
        <is>
          <t>opt+qty</t>
        </is>
      </c>
      <c r="M92" s="15" t="inlineStr">
        <is>
          <t>Gloss</t>
        </is>
      </c>
      <c r="N92" s="15" t="inlineStr">
        <is>
          <t>Print</t>
        </is>
      </c>
      <c r="O92" s="15" t="inlineStr">
        <is>
          <t>CAD</t>
        </is>
      </c>
      <c r="P92" s="15" t="inlineStr">
        <is>
          <t>200 C</t>
        </is>
      </c>
      <c r="Q92" s="15" t="inlineStr">
        <is>
          <t>No</t>
        </is>
      </c>
      <c r="R92" s="16" t="n">
        <v>1050.73</v>
      </c>
      <c r="S92" s="16" t="n">
        <v>724.2</v>
      </c>
      <c r="T92" s="16" t="n">
        <v>326.53</v>
      </c>
      <c r="U92" s="17" t="n">
        <v>45.08837337752001</v>
      </c>
      <c r="V92" s="18" t="n">
        <v>0.4820087610167763</v>
      </c>
      <c r="W92" s="15" t="inlineStr">
        <is>
          <t>No</t>
        </is>
      </c>
      <c r="X92" s="15" t="inlineStr"/>
    </row>
    <row r="93">
      <c r="A93" s="14" t="n">
        <v>223590</v>
      </c>
      <c r="B93" s="15" t="inlineStr">
        <is>
          <t>RW-260727-090826</t>
        </is>
      </c>
      <c r="C93" s="15" t="inlineStr">
        <is>
          <t>Yes</t>
        </is>
      </c>
      <c r="D93" s="15" t="inlineStr">
        <is>
          <t>PCA - Akron</t>
        </is>
      </c>
      <c r="E93" s="15" t="inlineStr">
        <is>
          <t>Power Prep Mixer 01.27.2025</t>
        </is>
      </c>
      <c r="F93" s="15" t="inlineStr">
        <is>
          <t>Option 1</t>
        </is>
      </c>
      <c r="G93" s="14" t="n">
        <v>100</v>
      </c>
      <c r="H93" s="15" t="inlineStr">
        <is>
          <t>50-199</t>
        </is>
      </c>
      <c r="I93" s="15" t="inlineStr">
        <is>
          <t>100</t>
        </is>
      </c>
      <c r="J93" s="14" t="n">
        <v>1</v>
      </c>
      <c r="K93" s="14" t="n">
        <v>1</v>
      </c>
      <c r="L93" s="15" t="inlineStr">
        <is>
          <t>opt+qty</t>
        </is>
      </c>
      <c r="M93" s="15" t="inlineStr">
        <is>
          <t>Gloss</t>
        </is>
      </c>
      <c r="N93" s="15" t="inlineStr">
        <is>
          <t>Print</t>
        </is>
      </c>
      <c r="O93" s="15" t="inlineStr">
        <is>
          <t>CAD</t>
        </is>
      </c>
      <c r="P93" s="15" t="inlineStr">
        <is>
          <t>200 C</t>
        </is>
      </c>
      <c r="Q93" s="15" t="inlineStr">
        <is>
          <t>No</t>
        </is>
      </c>
      <c r="R93" s="16" t="n">
        <v>1361.8</v>
      </c>
      <c r="S93" s="16" t="n">
        <v>1230.77</v>
      </c>
      <c r="T93" s="16" t="n">
        <v>131.03</v>
      </c>
      <c r="U93" s="17" t="n">
        <v>10.64618084613697</v>
      </c>
      <c r="V93" s="18" t="n">
        <v>-0.257294676461841</v>
      </c>
      <c r="W93" s="15" t="inlineStr">
        <is>
          <t>No</t>
        </is>
      </c>
      <c r="X93" s="15" t="inlineStr"/>
    </row>
    <row r="94">
      <c r="A94" s="14" t="n">
        <v>223591</v>
      </c>
      <c r="B94" s="15" t="inlineStr">
        <is>
          <t>RW-260722-082345</t>
        </is>
      </c>
      <c r="C94" s="15" t="inlineStr">
        <is>
          <t>Yes</t>
        </is>
      </c>
      <c r="D94" s="15" t="inlineStr">
        <is>
          <t>PCA - Akron</t>
        </is>
      </c>
      <c r="E94" s="15" t="inlineStr">
        <is>
          <t>Vitamix digital pricing for orders</t>
        </is>
      </c>
      <c r="F94" s="15" t="inlineStr">
        <is>
          <t>Die Cut - for production purposes</t>
        </is>
      </c>
      <c r="G94" s="14" t="n">
        <v>250</v>
      </c>
      <c r="H94" s="15" t="inlineStr">
        <is>
          <t>200-999</t>
        </is>
      </c>
      <c r="I94" s="15" t="inlineStr">
        <is>
          <t>250</t>
        </is>
      </c>
      <c r="J94" s="14" t="n">
        <v>1</v>
      </c>
      <c r="K94" s="14" t="n">
        <v>1</v>
      </c>
      <c r="L94" s="15" t="inlineStr">
        <is>
          <t>opt+qty</t>
        </is>
      </c>
      <c r="M94" s="15" t="inlineStr">
        <is>
          <t>Gloss</t>
        </is>
      </c>
      <c r="N94" s="15" t="inlineStr">
        <is>
          <t>Print</t>
        </is>
      </c>
      <c r="O94" s="15" t="inlineStr">
        <is>
          <t>Crest</t>
        </is>
      </c>
      <c r="P94" s="15" t="inlineStr">
        <is>
          <t>200 C</t>
        </is>
      </c>
      <c r="Q94" s="15" t="inlineStr">
        <is>
          <t>No</t>
        </is>
      </c>
      <c r="R94" s="16" t="n">
        <v>8153.57</v>
      </c>
      <c r="S94" s="16" t="n">
        <v>6549.08</v>
      </c>
      <c r="T94" s="16" t="n">
        <v>1604.49</v>
      </c>
      <c r="U94" s="17" t="n">
        <v>24.49947168151862</v>
      </c>
      <c r="V94" s="18" t="n">
        <v>0.04006692517419216</v>
      </c>
      <c r="W94" s="15" t="inlineStr">
        <is>
          <t>No</t>
        </is>
      </c>
      <c r="X94" s="15" t="inlineStr"/>
    </row>
    <row r="95">
      <c r="A95" s="14" t="n">
        <v>223591</v>
      </c>
      <c r="B95" s="15" t="inlineStr">
        <is>
          <t>RW-260722-082345</t>
        </is>
      </c>
      <c r="C95" s="15" t="inlineStr">
        <is>
          <t>Yes</t>
        </is>
      </c>
      <c r="D95" s="15" t="inlineStr">
        <is>
          <t>PCA - Akron</t>
        </is>
      </c>
      <c r="E95" s="15" t="inlineStr">
        <is>
          <t>Vitamix digital pricing for orders</t>
        </is>
      </c>
      <c r="F95" s="15" t="inlineStr">
        <is>
          <t>Die Cut - for production purposes</t>
        </is>
      </c>
      <c r="G95" s="14" t="n">
        <v>300</v>
      </c>
      <c r="H95" s="15" t="inlineStr">
        <is>
          <t>200-999</t>
        </is>
      </c>
      <c r="I95" s="15" t="inlineStr">
        <is>
          <t>300</t>
        </is>
      </c>
      <c r="J95" s="14" t="n">
        <v>1</v>
      </c>
      <c r="K95" s="14" t="n">
        <v>1</v>
      </c>
      <c r="L95" s="15" t="inlineStr">
        <is>
          <t>opt+qty</t>
        </is>
      </c>
      <c r="M95" s="15" t="inlineStr">
        <is>
          <t>Gloss</t>
        </is>
      </c>
      <c r="N95" s="15" t="inlineStr">
        <is>
          <t>Print</t>
        </is>
      </c>
      <c r="O95" s="15" t="inlineStr">
        <is>
          <t>Crest</t>
        </is>
      </c>
      <c r="P95" s="15" t="inlineStr">
        <is>
          <t>200 C</t>
        </is>
      </c>
      <c r="Q95" s="15" t="inlineStr">
        <is>
          <t>No</t>
        </is>
      </c>
      <c r="R95" s="16" t="n">
        <v>9424.68</v>
      </c>
      <c r="S95" s="16" t="n">
        <v>7577.35</v>
      </c>
      <c r="T95" s="16" t="n">
        <v>1847.33</v>
      </c>
      <c r="U95" s="17" t="n">
        <v>24.37963140147941</v>
      </c>
      <c r="V95" s="18" t="n">
        <v>0.03749454738782849</v>
      </c>
      <c r="W95" s="15" t="inlineStr">
        <is>
          <t>No</t>
        </is>
      </c>
      <c r="X95" s="15" t="inlineStr"/>
    </row>
    <row r="96">
      <c r="A96" s="14" t="n">
        <v>223596</v>
      </c>
      <c r="B96" s="15" t="inlineStr">
        <is>
          <t>RW-260722-085112</t>
        </is>
      </c>
      <c r="C96" s="15" t="inlineStr">
        <is>
          <t>Yes</t>
        </is>
      </c>
      <c r="D96" s="15" t="inlineStr">
        <is>
          <t>PCA Pennsylvania Acquisition Corporation</t>
        </is>
      </c>
      <c r="E96" s="15" t="inlineStr">
        <is>
          <t>RFQ Scotts 07-09-26</t>
        </is>
      </c>
      <c r="F96" s="15" t="inlineStr">
        <is>
          <t>DieCut</t>
        </is>
      </c>
      <c r="G96" s="14" t="n">
        <v>1000</v>
      </c>
      <c r="H96" s="15" t="inlineStr">
        <is>
          <t>1000-4999</t>
        </is>
      </c>
      <c r="I96" s="15" t="inlineStr">
        <is>
          <t>700-1000</t>
        </is>
      </c>
      <c r="J96" s="14" t="n">
        <v>2</v>
      </c>
      <c r="K96" s="14" t="n">
        <v>2</v>
      </c>
      <c r="L96" s="15" t="inlineStr">
        <is>
          <t>opt+qty</t>
        </is>
      </c>
      <c r="M96" s="15" t="inlineStr">
        <is>
          <t>Satin</t>
        </is>
      </c>
      <c r="N96" s="15" t="inlineStr">
        <is>
          <t>Print</t>
        </is>
      </c>
      <c r="O96" s="15" t="inlineStr">
        <is>
          <t>Crest</t>
        </is>
      </c>
      <c r="P96" s="15" t="inlineStr">
        <is>
          <t>ECT 44 C</t>
        </is>
      </c>
      <c r="Q96" s="15" t="inlineStr">
        <is>
          <t>No</t>
        </is>
      </c>
      <c r="R96" s="16" t="n">
        <v>10871</v>
      </c>
      <c r="S96" s="16" t="n">
        <v>9299.35</v>
      </c>
      <c r="T96" s="16" t="n">
        <v>1571.65</v>
      </c>
      <c r="U96" s="17" t="n">
        <v>16.90064359336942</v>
      </c>
      <c r="V96" s="18" t="n">
        <v>-0.123042311302519</v>
      </c>
      <c r="W96" s="15" t="inlineStr">
        <is>
          <t>No</t>
        </is>
      </c>
      <c r="X96" s="15" t="inlineStr"/>
    </row>
    <row r="97">
      <c r="A97" s="14" t="n">
        <v>223597</v>
      </c>
      <c r="B97" s="15" t="inlineStr">
        <is>
          <t>RW-260730-155412</t>
        </is>
      </c>
      <c r="C97" s="15" t="inlineStr">
        <is>
          <t>Yes</t>
        </is>
      </c>
      <c r="D97" s="15" t="inlineStr">
        <is>
          <t>Tavens</t>
        </is>
      </c>
      <c r="E97" s="15" t="inlineStr">
        <is>
          <t>New Piston Kit</t>
        </is>
      </c>
      <c r="F97" s="15" t="inlineStr">
        <is>
          <t>Option 1</t>
        </is>
      </c>
      <c r="G97" s="14" t="n">
        <v>250</v>
      </c>
      <c r="H97" s="15" t="inlineStr">
        <is>
          <t>200-999</t>
        </is>
      </c>
      <c r="I97" s="15" t="inlineStr">
        <is>
          <t>250</t>
        </is>
      </c>
      <c r="J97" s="14" t="n">
        <v>1</v>
      </c>
      <c r="K97" s="14" t="n">
        <v>1</v>
      </c>
      <c r="L97" s="15" t="inlineStr">
        <is>
          <t>opt+qty</t>
        </is>
      </c>
      <c r="M97" s="15" t="inlineStr">
        <is>
          <t>Gloss</t>
        </is>
      </c>
      <c r="N97" s="15" t="inlineStr">
        <is>
          <t>Print</t>
        </is>
      </c>
      <c r="O97" s="15" t="inlineStr">
        <is>
          <t>CAD</t>
        </is>
      </c>
      <c r="P97" s="15" t="inlineStr">
        <is>
          <t>200 B</t>
        </is>
      </c>
      <c r="Q97" s="15" t="inlineStr">
        <is>
          <t>No</t>
        </is>
      </c>
      <c r="R97" s="16" t="n">
        <v>3071.43</v>
      </c>
      <c r="S97" s="16" t="n">
        <v>2749.42</v>
      </c>
      <c r="T97" s="16" t="n">
        <v>322.0099999999998</v>
      </c>
      <c r="U97" s="17" t="n">
        <v>11.71192469684514</v>
      </c>
      <c r="V97" s="18" t="n">
        <v>-0.2344184297890333</v>
      </c>
      <c r="W97" s="15" t="inlineStr">
        <is>
          <t>No</t>
        </is>
      </c>
      <c r="X97" s="15" t="inlineStr"/>
    </row>
    <row r="98">
      <c r="A98" s="14" t="n">
        <v>223651</v>
      </c>
      <c r="B98" s="15" t="inlineStr">
        <is>
          <t>RW-260724-113737</t>
        </is>
      </c>
      <c r="C98" s="15" t="inlineStr">
        <is>
          <t>Yes</t>
        </is>
      </c>
      <c r="D98" s="15" t="inlineStr">
        <is>
          <t>Apex Display Group</t>
        </is>
      </c>
      <c r="E98" s="15" t="inlineStr">
        <is>
          <t>0904-219 Center Joint</t>
        </is>
      </c>
      <c r="F98" s="15" t="inlineStr">
        <is>
          <t>Option 1</t>
        </is>
      </c>
      <c r="G98" s="14" t="n">
        <v>22</v>
      </c>
      <c r="H98" s="15" t="inlineStr">
        <is>
          <t>1-49</t>
        </is>
      </c>
      <c r="I98" s="15" t="inlineStr">
        <is>
          <t>22</t>
        </is>
      </c>
      <c r="J98" s="14" t="n">
        <v>1</v>
      </c>
      <c r="K98" s="14" t="n">
        <v>1</v>
      </c>
      <c r="L98" s="15" t="inlineStr">
        <is>
          <t>opt+qty</t>
        </is>
      </c>
      <c r="M98" s="15" t="inlineStr">
        <is>
          <t>None</t>
        </is>
      </c>
      <c r="N98" s="15" t="inlineStr">
        <is>
          <t>No Print</t>
        </is>
      </c>
      <c r="O98" s="15" t="inlineStr">
        <is>
          <t>CAD</t>
        </is>
      </c>
      <c r="P98" s="15" t="inlineStr">
        <is>
          <t>200 B</t>
        </is>
      </c>
      <c r="Q98" s="15" t="inlineStr">
        <is>
          <t>No</t>
        </is>
      </c>
      <c r="R98" s="16" t="n">
        <v>132.39</v>
      </c>
      <c r="S98" s="16" t="n">
        <v>130.54</v>
      </c>
      <c r="T98" s="16" t="n">
        <v>1.849999999999994</v>
      </c>
      <c r="U98" s="17" t="n">
        <v>1.417190133292473</v>
      </c>
      <c r="V98" s="18" t="n">
        <v>-0.4553954376792683</v>
      </c>
      <c r="W98" s="15" t="inlineStr">
        <is>
          <t>No</t>
        </is>
      </c>
      <c r="X98" s="15" t="inlineStr"/>
    </row>
    <row r="99">
      <c r="A99" s="14" t="n">
        <v>223651</v>
      </c>
      <c r="B99" s="15" t="inlineStr">
        <is>
          <t>RW-260724-113737</t>
        </is>
      </c>
      <c r="C99" s="15" t="inlineStr">
        <is>
          <t>Yes</t>
        </is>
      </c>
      <c r="D99" s="15" t="inlineStr">
        <is>
          <t>Apex Display Group</t>
        </is>
      </c>
      <c r="E99" s="15" t="inlineStr">
        <is>
          <t>0904-219 Center Joint</t>
        </is>
      </c>
      <c r="F99" s="15" t="inlineStr">
        <is>
          <t>Option 1</t>
        </is>
      </c>
      <c r="G99" s="14" t="n">
        <v>59</v>
      </c>
      <c r="H99" s="15" t="inlineStr">
        <is>
          <t>50-199</t>
        </is>
      </c>
      <c r="I99" s="15" t="inlineStr">
        <is>
          <t>59</t>
        </is>
      </c>
      <c r="J99" s="14" t="n">
        <v>1</v>
      </c>
      <c r="K99" s="14" t="n">
        <v>1</v>
      </c>
      <c r="L99" s="15" t="inlineStr">
        <is>
          <t>opt+qty</t>
        </is>
      </c>
      <c r="M99" s="15" t="inlineStr">
        <is>
          <t>None</t>
        </is>
      </c>
      <c r="N99" s="15" t="inlineStr">
        <is>
          <t>No Print</t>
        </is>
      </c>
      <c r="O99" s="15" t="inlineStr">
        <is>
          <t>CAD</t>
        </is>
      </c>
      <c r="P99" s="15" t="inlineStr">
        <is>
          <t>200 B</t>
        </is>
      </c>
      <c r="Q99" s="15" t="inlineStr">
        <is>
          <t>No</t>
        </is>
      </c>
      <c r="R99" s="16" t="n">
        <v>194.89</v>
      </c>
      <c r="S99" s="16" t="n">
        <v>157.17</v>
      </c>
      <c r="T99" s="16" t="n">
        <v>37.72</v>
      </c>
      <c r="U99" s="17" t="n">
        <v>23.99949099700961</v>
      </c>
      <c r="V99" s="18" t="n">
        <v>0.02933481401740044</v>
      </c>
      <c r="W99" s="15" t="inlineStr">
        <is>
          <t>No</t>
        </is>
      </c>
      <c r="X99" s="15" t="inlineStr"/>
    </row>
    <row r="100">
      <c r="A100" s="14" t="n">
        <v>223661</v>
      </c>
      <c r="B100" s="15" t="inlineStr">
        <is>
          <t>RW-260807-141651</t>
        </is>
      </c>
      <c r="C100" s="15" t="inlineStr">
        <is>
          <t>Yes</t>
        </is>
      </c>
      <c r="D100" s="15" t="inlineStr">
        <is>
          <t>PCA - Ashland</t>
        </is>
      </c>
      <c r="E100" s="15" t="inlineStr">
        <is>
          <t>Serenity Lids Inc Walmart</t>
        </is>
      </c>
      <c r="F100" s="15" t="inlineStr">
        <is>
          <t>CAD</t>
        </is>
      </c>
      <c r="G100" s="14" t="n">
        <v>1000</v>
      </c>
      <c r="H100" s="15" t="inlineStr">
        <is>
          <t>1000-4999</t>
        </is>
      </c>
      <c r="I100" s="15" t="inlineStr">
        <is>
          <t>1000</t>
        </is>
      </c>
      <c r="J100" s="14" t="n">
        <v>1</v>
      </c>
      <c r="K100" s="14" t="n">
        <v>1</v>
      </c>
      <c r="L100" s="15" t="inlineStr">
        <is>
          <t>opt+qty</t>
        </is>
      </c>
      <c r="M100" s="15" t="inlineStr">
        <is>
          <t>Satin</t>
        </is>
      </c>
      <c r="N100" s="15" t="inlineStr">
        <is>
          <t>Print</t>
        </is>
      </c>
      <c r="O100" s="15" t="inlineStr">
        <is>
          <t>CAD</t>
        </is>
      </c>
      <c r="P100" s="15" t="inlineStr">
        <is>
          <t>200 B</t>
        </is>
      </c>
      <c r="Q100" s="15" t="inlineStr">
        <is>
          <t>No</t>
        </is>
      </c>
      <c r="R100" s="16" t="n">
        <v>3468.41</v>
      </c>
      <c r="S100" s="16" t="n">
        <v>3135.29</v>
      </c>
      <c r="T100" s="16" t="n">
        <v>333.1199999999999</v>
      </c>
      <c r="U100" s="17" t="n">
        <v>10.62485447917098</v>
      </c>
      <c r="V100" s="18" t="n">
        <v>-0.2577524480277051</v>
      </c>
      <c r="W100" s="15" t="inlineStr">
        <is>
          <t>No</t>
        </is>
      </c>
      <c r="X100" s="15" t="inlineStr"/>
    </row>
    <row r="101">
      <c r="A101" s="14" t="n">
        <v>223672</v>
      </c>
      <c r="B101" s="15" t="inlineStr">
        <is>
          <t>RW-260807-151228</t>
        </is>
      </c>
      <c r="C101" s="15" t="inlineStr">
        <is>
          <t>Yes</t>
        </is>
      </c>
      <c r="D101" s="15" t="inlineStr">
        <is>
          <t>Apex Display Group</t>
        </is>
      </c>
      <c r="E101" s="15" t="inlineStr">
        <is>
          <t>2586-01 Universal 36/4284 Balconi</t>
        </is>
      </c>
      <c r="F101" s="15" t="inlineStr">
        <is>
          <t>Option 1</t>
        </is>
      </c>
      <c r="G101" s="14" t="n">
        <v>6</v>
      </c>
      <c r="H101" s="15" t="inlineStr">
        <is>
          <t>1-49</t>
        </is>
      </c>
      <c r="I101" s="15" t="inlineStr">
        <is>
          <t>2-6</t>
        </is>
      </c>
      <c r="J101" s="14" t="n">
        <v>3</v>
      </c>
      <c r="K101" s="14" t="n">
        <v>2</v>
      </c>
      <c r="L101" s="15" t="inlineStr">
        <is>
          <t>opt+qty</t>
        </is>
      </c>
      <c r="M101" s="15" t="inlineStr">
        <is>
          <t>Satin</t>
        </is>
      </c>
      <c r="N101" s="15" t="inlineStr">
        <is>
          <t>Print</t>
        </is>
      </c>
      <c r="O101" s="15" t="inlineStr">
        <is>
          <t>CAD</t>
        </is>
      </c>
      <c r="P101" s="15" t="inlineStr">
        <is>
          <t>ECT 44 B</t>
        </is>
      </c>
      <c r="Q101" s="15" t="inlineStr">
        <is>
          <t>No</t>
        </is>
      </c>
      <c r="R101" s="16" t="n">
        <v>766.54</v>
      </c>
      <c r="S101" s="16" t="n">
        <v>440.83</v>
      </c>
      <c r="T101" s="16" t="n">
        <v>325.71</v>
      </c>
      <c r="U101" s="17" t="n">
        <v>73.88562484404419</v>
      </c>
      <c r="V101" s="18" t="n">
        <v>1.10014324765663</v>
      </c>
      <c r="W101" s="15" t="inlineStr">
        <is>
          <t>No</t>
        </is>
      </c>
      <c r="X101" s="15" t="inlineStr"/>
    </row>
    <row r="102">
      <c r="A102" s="14" t="n">
        <v>223677</v>
      </c>
      <c r="B102" s="15" t="inlineStr">
        <is>
          <t>RW-260807-152050</t>
        </is>
      </c>
      <c r="C102" s="15" t="inlineStr">
        <is>
          <t>Yes</t>
        </is>
      </c>
      <c r="D102" s="15" t="inlineStr">
        <is>
          <t>Apex Display Group</t>
        </is>
      </c>
      <c r="E102" s="15" t="inlineStr">
        <is>
          <t>Universal 36/42/54 Hot Wheels</t>
        </is>
      </c>
      <c r="F102" s="15" t="inlineStr"/>
      <c r="G102" s="14" t="n">
        <v>6</v>
      </c>
      <c r="H102" s="15" t="inlineStr">
        <is>
          <t>1-49</t>
        </is>
      </c>
      <c r="I102" s="15" t="inlineStr">
        <is>
          <t>2-6</t>
        </is>
      </c>
      <c r="J102" s="14" t="n">
        <v>3</v>
      </c>
      <c r="K102" s="14" t="n">
        <v>3</v>
      </c>
      <c r="L102" s="15" t="inlineStr">
        <is>
          <t>qty-only</t>
        </is>
      </c>
      <c r="M102" s="15" t="inlineStr">
        <is>
          <t>Gloss/Satin</t>
        </is>
      </c>
      <c r="N102" s="15" t="inlineStr">
        <is>
          <t>Print</t>
        </is>
      </c>
      <c r="O102" s="15" t="inlineStr">
        <is>
          <t>CAD</t>
        </is>
      </c>
      <c r="P102" s="15" t="inlineStr">
        <is>
          <t>ECT 44 B</t>
        </is>
      </c>
      <c r="Q102" s="15" t="inlineStr">
        <is>
          <t>No</t>
        </is>
      </c>
      <c r="R102" s="16" t="n">
        <v>1250.48</v>
      </c>
      <c r="S102" s="16" t="n">
        <v>898.55</v>
      </c>
      <c r="T102" s="16" t="n">
        <v>351.9300000000001</v>
      </c>
      <c r="U102" s="17" t="n">
        <v>39.16643481164099</v>
      </c>
      <c r="V102" s="18" t="n">
        <v>0.3548940445450445</v>
      </c>
      <c r="W102" s="15" t="inlineStr">
        <is>
          <t>No</t>
        </is>
      </c>
      <c r="X102" s="15" t="inlineStr"/>
    </row>
    <row r="103">
      <c r="A103" s="14" t="n">
        <v>223689</v>
      </c>
      <c r="B103" s="15" t="inlineStr">
        <is>
          <t>RW-260720-134257</t>
        </is>
      </c>
      <c r="C103" s="15" t="inlineStr">
        <is>
          <t>No</t>
        </is>
      </c>
      <c r="D103" s="15" t="inlineStr">
        <is>
          <t>Veritiv Operating Company</t>
        </is>
      </c>
      <c r="E103" s="15" t="inlineStr">
        <is>
          <t>Schaeffler Vehicle Lifetime P-17-EC-K251 87X87X43-INA Schachtel TEST</t>
        </is>
      </c>
      <c r="F103" s="15" t="inlineStr">
        <is>
          <t>Die Cut</t>
        </is>
      </c>
      <c r="G103" s="14" t="n">
        <v>700</v>
      </c>
      <c r="H103" s="15" t="inlineStr">
        <is>
          <t>200-999</t>
        </is>
      </c>
      <c r="I103" s="15" t="inlineStr">
        <is>
          <t>700</t>
        </is>
      </c>
      <c r="J103" s="14" t="n">
        <v>1</v>
      </c>
      <c r="K103" s="14" t="n">
        <v>1</v>
      </c>
      <c r="L103" s="15" t="inlineStr">
        <is>
          <t>opt+qty</t>
        </is>
      </c>
      <c r="M103" s="15" t="inlineStr">
        <is>
          <t>Gloss</t>
        </is>
      </c>
      <c r="N103" s="15" t="inlineStr">
        <is>
          <t>Print</t>
        </is>
      </c>
      <c r="O103" s="15" t="inlineStr">
        <is>
          <t>Crest</t>
        </is>
      </c>
      <c r="P103" s="15" t="inlineStr">
        <is>
          <t>200 B</t>
        </is>
      </c>
      <c r="Q103" s="15" t="inlineStr">
        <is>
          <t>No</t>
        </is>
      </c>
      <c r="R103" s="16" t="n">
        <v>7133.95</v>
      </c>
      <c r="S103" s="16" t="n">
        <v>4904.67</v>
      </c>
      <c r="T103" s="16" t="n">
        <v>2229.28</v>
      </c>
      <c r="U103" s="17" t="n">
        <v>45.45219148281127</v>
      </c>
      <c r="V103" s="18" t="n">
        <v>0.4898181353942554</v>
      </c>
      <c r="W103" s="15" t="inlineStr">
        <is>
          <t>No</t>
        </is>
      </c>
      <c r="X103" s="15" t="inlineStr">
        <is>
          <t>3 glue joints/complex plus 1380 for a die</t>
        </is>
      </c>
    </row>
    <row r="104">
      <c r="A104" s="14" t="n">
        <v>223701</v>
      </c>
      <c r="B104" s="15" t="inlineStr">
        <is>
          <t>RW-260720-133223</t>
        </is>
      </c>
      <c r="C104" s="15" t="inlineStr">
        <is>
          <t>No</t>
        </is>
      </c>
      <c r="D104" s="15" t="inlineStr">
        <is>
          <t>Tavens</t>
        </is>
      </c>
      <c r="E104" s="15" t="inlineStr">
        <is>
          <t>TR-10351 16x8.5x6</t>
        </is>
      </c>
      <c r="F104" s="15" t="inlineStr">
        <is>
          <t>Option 1</t>
        </is>
      </c>
      <c r="G104" s="14" t="n">
        <v>50</v>
      </c>
      <c r="H104" s="15" t="inlineStr">
        <is>
          <t>50-199</t>
        </is>
      </c>
      <c r="I104" s="15" t="inlineStr">
        <is>
          <t>50</t>
        </is>
      </c>
      <c r="J104" s="14" t="n">
        <v>2</v>
      </c>
      <c r="K104" s="14" t="n">
        <v>2</v>
      </c>
      <c r="L104" s="15" t="inlineStr">
        <is>
          <t>opt+qty</t>
        </is>
      </c>
      <c r="M104" s="15" t="inlineStr">
        <is>
          <t>Gloss</t>
        </is>
      </c>
      <c r="N104" s="15" t="inlineStr">
        <is>
          <t>Print</t>
        </is>
      </c>
      <c r="O104" s="15" t="inlineStr">
        <is>
          <t>CAD</t>
        </is>
      </c>
      <c r="P104" s="15" t="inlineStr">
        <is>
          <t>200 E</t>
        </is>
      </c>
      <c r="Q104" s="15" t="inlineStr">
        <is>
          <t>No</t>
        </is>
      </c>
      <c r="R104" s="16" t="n">
        <v>2396.02</v>
      </c>
      <c r="S104" s="16" t="n">
        <v>2142.17</v>
      </c>
      <c r="T104" s="16" t="n">
        <v>253.8499999999999</v>
      </c>
      <c r="U104" s="17" t="n">
        <v>11.85013327607052</v>
      </c>
      <c r="V104" s="18" t="n">
        <v>-0.2314517755141275</v>
      </c>
      <c r="W104" s="15" t="inlineStr">
        <is>
          <t>No</t>
        </is>
      </c>
      <c r="X104" s="15" t="inlineStr"/>
    </row>
    <row r="105">
      <c r="A105" s="14" t="n">
        <v>223701</v>
      </c>
      <c r="B105" s="15" t="inlineStr">
        <is>
          <t>RW-260720-133223</t>
        </is>
      </c>
      <c r="C105" s="15" t="inlineStr">
        <is>
          <t>No</t>
        </is>
      </c>
      <c r="D105" s="15" t="inlineStr">
        <is>
          <t>Tavens</t>
        </is>
      </c>
      <c r="E105" s="15" t="inlineStr">
        <is>
          <t>TR-10351 16x8.5x6</t>
        </is>
      </c>
      <c r="F105" s="15" t="inlineStr">
        <is>
          <t>Option 1</t>
        </is>
      </c>
      <c r="G105" s="14" t="n">
        <v>100</v>
      </c>
      <c r="H105" s="15" t="inlineStr">
        <is>
          <t>50-199</t>
        </is>
      </c>
      <c r="I105" s="15" t="inlineStr">
        <is>
          <t>100</t>
        </is>
      </c>
      <c r="J105" s="14" t="n">
        <v>2</v>
      </c>
      <c r="K105" s="14" t="n">
        <v>2</v>
      </c>
      <c r="L105" s="15" t="inlineStr">
        <is>
          <t>opt+qty</t>
        </is>
      </c>
      <c r="M105" s="15" t="inlineStr">
        <is>
          <t>Gloss</t>
        </is>
      </c>
      <c r="N105" s="15" t="inlineStr">
        <is>
          <t>Print</t>
        </is>
      </c>
      <c r="O105" s="15" t="inlineStr">
        <is>
          <t>CAD</t>
        </is>
      </c>
      <c r="P105" s="15" t="inlineStr">
        <is>
          <t>200 E</t>
        </is>
      </c>
      <c r="Q105" s="15" t="inlineStr">
        <is>
          <t>No</t>
        </is>
      </c>
      <c r="R105" s="16" t="n">
        <v>3307.2</v>
      </c>
      <c r="S105" s="16" t="n">
        <v>3463.91</v>
      </c>
      <c r="T105" s="16" t="n">
        <v>-156.71</v>
      </c>
      <c r="U105" s="17" t="n">
        <v>-4.524078281479601</v>
      </c>
      <c r="V105" s="18" t="n">
        <v>-0.5829250703535488</v>
      </c>
      <c r="W105" s="15" t="inlineStr">
        <is>
          <t>No</t>
        </is>
      </c>
      <c r="X105" s="15" t="inlineStr"/>
    </row>
    <row r="106">
      <c r="A106" s="14" t="n">
        <v>223701</v>
      </c>
      <c r="B106" s="15" t="inlineStr">
        <is>
          <t>RW-260720-133223</t>
        </is>
      </c>
      <c r="C106" s="15" t="inlineStr">
        <is>
          <t>No</t>
        </is>
      </c>
      <c r="D106" s="15" t="inlineStr">
        <is>
          <t>Tavens</t>
        </is>
      </c>
      <c r="E106" s="15" t="inlineStr">
        <is>
          <t>TR-10351 16x8.5x6</t>
        </is>
      </c>
      <c r="F106" s="15" t="inlineStr">
        <is>
          <t>Option 1</t>
        </is>
      </c>
      <c r="G106" s="14" t="n">
        <v>200</v>
      </c>
      <c r="H106" s="15" t="inlineStr">
        <is>
          <t>200-999</t>
        </is>
      </c>
      <c r="I106" s="15" t="inlineStr">
        <is>
          <t>200</t>
        </is>
      </c>
      <c r="J106" s="14" t="n">
        <v>2</v>
      </c>
      <c r="K106" s="14" t="n">
        <v>2</v>
      </c>
      <c r="L106" s="15" t="inlineStr">
        <is>
          <t>opt+qty</t>
        </is>
      </c>
      <c r="M106" s="15" t="inlineStr">
        <is>
          <t>Gloss</t>
        </is>
      </c>
      <c r="N106" s="15" t="inlineStr">
        <is>
          <t>Print</t>
        </is>
      </c>
      <c r="O106" s="15" t="inlineStr">
        <is>
          <t>CAD</t>
        </is>
      </c>
      <c r="P106" s="15" t="inlineStr">
        <is>
          <t>200 E</t>
        </is>
      </c>
      <c r="Q106" s="15" t="inlineStr">
        <is>
          <t>No</t>
        </is>
      </c>
      <c r="R106" s="16" t="n">
        <v>4981.87</v>
      </c>
      <c r="S106" s="16" t="n">
        <v>5894.43</v>
      </c>
      <c r="T106" s="16" t="n">
        <v>-912.5600000000004</v>
      </c>
      <c r="U106" s="17" t="n">
        <v>-15.48173445099866</v>
      </c>
      <c r="V106" s="18" t="n">
        <v>-0.818131724675939</v>
      </c>
      <c r="W106" s="15" t="inlineStr">
        <is>
          <t>No</t>
        </is>
      </c>
      <c r="X106" s="15" t="inlineStr"/>
    </row>
    <row r="107">
      <c r="A107" s="14" t="n">
        <v>223702</v>
      </c>
      <c r="B107" s="15" t="inlineStr">
        <is>
          <t>RW-260720-132349</t>
        </is>
      </c>
      <c r="C107" s="15" t="inlineStr">
        <is>
          <t>No</t>
        </is>
      </c>
      <c r="D107" s="15" t="inlineStr">
        <is>
          <t>PCA - Akron</t>
        </is>
      </c>
      <c r="E107" s="15" t="inlineStr">
        <is>
          <t>Vitamix 154042 POP - 2pc / 154727</t>
        </is>
      </c>
      <c r="F107" s="15" t="inlineStr">
        <is>
          <t>Die</t>
        </is>
      </c>
      <c r="G107" s="14" t="n">
        <v>250</v>
      </c>
      <c r="H107" s="15" t="inlineStr">
        <is>
          <t>200-999</t>
        </is>
      </c>
      <c r="I107" s="15" t="inlineStr">
        <is>
          <t>250</t>
        </is>
      </c>
      <c r="J107" s="14" t="n">
        <v>2</v>
      </c>
      <c r="K107" s="14" t="n">
        <v>2</v>
      </c>
      <c r="L107" s="15" t="inlineStr">
        <is>
          <t>opt+qty</t>
        </is>
      </c>
      <c r="M107" s="15" t="inlineStr">
        <is>
          <t>Gloss</t>
        </is>
      </c>
      <c r="N107" s="15" t="inlineStr">
        <is>
          <t>Print</t>
        </is>
      </c>
      <c r="O107" s="15" t="inlineStr">
        <is>
          <t>Crest</t>
        </is>
      </c>
      <c r="P107" s="15" t="inlineStr">
        <is>
          <t>200 B</t>
        </is>
      </c>
      <c r="Q107" s="15" t="inlineStr">
        <is>
          <t>No</t>
        </is>
      </c>
      <c r="R107" s="16" t="n">
        <v>10364.83</v>
      </c>
      <c r="S107" s="16" t="n">
        <v>9166.92</v>
      </c>
      <c r="T107" s="16" t="n">
        <v>1197.91</v>
      </c>
      <c r="U107" s="17" t="n">
        <v>13.06774794587495</v>
      </c>
      <c r="V107" s="18" t="n">
        <v>-0.2053156138835759</v>
      </c>
      <c r="W107" s="15" t="inlineStr">
        <is>
          <t>No</t>
        </is>
      </c>
      <c r="X107" s="15" t="inlineStr"/>
    </row>
    <row r="108">
      <c r="A108" s="14" t="n">
        <v>223702</v>
      </c>
      <c r="B108" s="15" t="inlineStr">
        <is>
          <t>RW-260720-132349</t>
        </is>
      </c>
      <c r="C108" s="15" t="inlineStr">
        <is>
          <t>No</t>
        </is>
      </c>
      <c r="D108" s="15" t="inlineStr">
        <is>
          <t>PCA - Akron</t>
        </is>
      </c>
      <c r="E108" s="15" t="inlineStr">
        <is>
          <t>Vitamix 154042 POP - 2pc / 154727</t>
        </is>
      </c>
      <c r="F108" s="15" t="inlineStr">
        <is>
          <t>Die</t>
        </is>
      </c>
      <c r="G108" s="14" t="n">
        <v>500</v>
      </c>
      <c r="H108" s="15" t="inlineStr">
        <is>
          <t>200-999</t>
        </is>
      </c>
      <c r="I108" s="15" t="inlineStr">
        <is>
          <t>500</t>
        </is>
      </c>
      <c r="J108" s="14" t="n">
        <v>2</v>
      </c>
      <c r="K108" s="14" t="n">
        <v>2</v>
      </c>
      <c r="L108" s="15" t="inlineStr">
        <is>
          <t>opt+qty</t>
        </is>
      </c>
      <c r="M108" s="15" t="inlineStr">
        <is>
          <t>Gloss</t>
        </is>
      </c>
      <c r="N108" s="15" t="inlineStr">
        <is>
          <t>Print</t>
        </is>
      </c>
      <c r="O108" s="15" t="inlineStr">
        <is>
          <t>Crest</t>
        </is>
      </c>
      <c r="P108" s="15" t="inlineStr">
        <is>
          <t>200 B</t>
        </is>
      </c>
      <c r="Q108" s="15" t="inlineStr">
        <is>
          <t>No</t>
        </is>
      </c>
      <c r="R108" s="16" t="n">
        <v>16620.47</v>
      </c>
      <c r="S108" s="16" t="n">
        <v>14908.08</v>
      </c>
      <c r="T108" s="16" t="n">
        <v>1712.390000000001</v>
      </c>
      <c r="U108" s="17" t="n">
        <v>11.48632151155616</v>
      </c>
      <c r="V108" s="18" t="n">
        <v>-0.2392610137865038</v>
      </c>
      <c r="W108" s="15" t="inlineStr">
        <is>
          <t>No</t>
        </is>
      </c>
      <c r="X108" s="15" t="inlineStr"/>
    </row>
    <row r="109">
      <c r="A109" s="14" t="n">
        <v>223706</v>
      </c>
      <c r="B109" s="15" t="inlineStr">
        <is>
          <t>RW-260717-111921</t>
        </is>
      </c>
      <c r="C109" s="15" t="inlineStr">
        <is>
          <t>No</t>
        </is>
      </c>
      <c r="D109" s="15" t="inlineStr">
        <is>
          <t>Jamestown Container Corp. - Falconer</t>
        </is>
      </c>
      <c r="E109" s="15" t="inlineStr">
        <is>
          <t>Re-Frame Display - Walmart (HOT Prototype)</t>
        </is>
      </c>
      <c r="F109" s="15" t="inlineStr">
        <is>
          <t>Option 1</t>
        </is>
      </c>
      <c r="G109" s="14" t="n">
        <v>8</v>
      </c>
      <c r="H109" s="15" t="inlineStr">
        <is>
          <t>1-49</t>
        </is>
      </c>
      <c r="I109" s="15" t="inlineStr">
        <is>
          <t>2-8</t>
        </is>
      </c>
      <c r="J109" s="14" t="n">
        <v>6</v>
      </c>
      <c r="K109" s="14" t="n">
        <v>6</v>
      </c>
      <c r="L109" s="15" t="inlineStr">
        <is>
          <t>opt+qty</t>
        </is>
      </c>
      <c r="M109" s="15" t="inlineStr">
        <is>
          <t>Satin</t>
        </is>
      </c>
      <c r="N109" s="15" t="inlineStr">
        <is>
          <t>Print</t>
        </is>
      </c>
      <c r="O109" s="15" t="inlineStr">
        <is>
          <t>CAD</t>
        </is>
      </c>
      <c r="P109" s="15" t="inlineStr">
        <is>
          <t>ECT 32 B</t>
        </is>
      </c>
      <c r="Q109" s="15" t="inlineStr">
        <is>
          <t>No</t>
        </is>
      </c>
      <c r="R109" s="16" t="n">
        <v>2846.36</v>
      </c>
      <c r="S109" s="16" t="n">
        <v>1803.46</v>
      </c>
      <c r="T109" s="16" t="n">
        <v>1042.9</v>
      </c>
      <c r="U109" s="17" t="n">
        <v>57.82773113903276</v>
      </c>
      <c r="V109" s="18" t="n">
        <v>0.7554597318216852</v>
      </c>
      <c r="W109" s="15" t="inlineStr">
        <is>
          <t>No</t>
        </is>
      </c>
      <c r="X109" s="15" t="inlineStr">
        <is>
          <t xml:space="preserve">Complex CAD cutting based off of inches of rule | Substrate override, no buy min, but only 1 out </t>
        </is>
      </c>
    </row>
    <row r="110">
      <c r="A110" s="14" t="n">
        <v>223707</v>
      </c>
      <c r="B110" s="15" t="inlineStr">
        <is>
          <t>RW-260720-112723</t>
        </is>
      </c>
      <c r="C110" s="15" t="inlineStr">
        <is>
          <t>No</t>
        </is>
      </c>
      <c r="D110" s="15" t="inlineStr">
        <is>
          <t>PCA - Burlington</t>
        </is>
      </c>
      <c r="E110" s="15" t="inlineStr">
        <is>
          <t>Trad Favorites</t>
        </is>
      </c>
      <c r="F110" s="15" t="inlineStr">
        <is>
          <t>Option 1</t>
        </is>
      </c>
      <c r="G110" s="14" t="n">
        <v>1300</v>
      </c>
      <c r="H110" s="15" t="inlineStr">
        <is>
          <t>1000-4999</t>
        </is>
      </c>
      <c r="I110" s="15" t="inlineStr">
        <is>
          <t>1300</t>
        </is>
      </c>
      <c r="J110" s="14" t="n">
        <v>1</v>
      </c>
      <c r="K110" s="14" t="n">
        <v>1</v>
      </c>
      <c r="L110" s="15" t="inlineStr">
        <is>
          <t>opt+qty</t>
        </is>
      </c>
      <c r="M110" s="15" t="inlineStr">
        <is>
          <t>Gloss</t>
        </is>
      </c>
      <c r="N110" s="15" t="inlineStr">
        <is>
          <t>Print</t>
        </is>
      </c>
      <c r="O110" s="15" t="inlineStr">
        <is>
          <t>CAD</t>
        </is>
      </c>
      <c r="P110" s="15" t="inlineStr">
        <is>
          <t>200 E</t>
        </is>
      </c>
      <c r="Q110" s="15" t="inlineStr">
        <is>
          <t>No</t>
        </is>
      </c>
      <c r="R110" s="16" t="n">
        <v>3683.9</v>
      </c>
      <c r="S110" s="16" t="n">
        <v>5528.87</v>
      </c>
      <c r="T110" s="16" t="n">
        <v>-1844.97</v>
      </c>
      <c r="U110" s="17" t="n">
        <v>-33.36974824873798</v>
      </c>
      <c r="V110" s="18" t="n">
        <v>-1.202098862606649</v>
      </c>
      <c r="W110" s="15" t="inlineStr">
        <is>
          <t>No</t>
        </is>
      </c>
      <c r="X110" s="15" t="inlineStr"/>
    </row>
    <row r="111">
      <c r="A111" s="14" t="n">
        <v>223752</v>
      </c>
      <c r="B111" s="15" t="inlineStr">
        <is>
          <t>RW-260720-083107</t>
        </is>
      </c>
      <c r="C111" s="15" t="inlineStr">
        <is>
          <t>No</t>
        </is>
      </c>
      <c r="D111" s="15" t="inlineStr">
        <is>
          <t>Packaging Corporation of America</t>
        </is>
      </c>
      <c r="E111" s="15" t="inlineStr">
        <is>
          <t>TSC Holiday Iams Cat Mixed Full Pallet</t>
        </is>
      </c>
      <c r="F111" s="15" t="inlineStr">
        <is>
          <t>Option 1</t>
        </is>
      </c>
      <c r="G111" s="14" t="n">
        <v>600</v>
      </c>
      <c r="H111" s="15" t="inlineStr">
        <is>
          <t>200-999</t>
        </is>
      </c>
      <c r="I111" s="15" t="inlineStr">
        <is>
          <t>600</t>
        </is>
      </c>
      <c r="J111" s="14" t="n">
        <v>1</v>
      </c>
      <c r="K111" s="14" t="n">
        <v>1</v>
      </c>
      <c r="L111" s="15" t="inlineStr">
        <is>
          <t>opt+qty</t>
        </is>
      </c>
      <c r="M111" s="15" t="inlineStr">
        <is>
          <t>Gloss</t>
        </is>
      </c>
      <c r="N111" s="15" t="inlineStr">
        <is>
          <t>Print</t>
        </is>
      </c>
      <c r="O111" s="15" t="inlineStr">
        <is>
          <t>CAD</t>
        </is>
      </c>
      <c r="P111" s="15" t="inlineStr">
        <is>
          <t>ECT 44 B</t>
        </is>
      </c>
      <c r="Q111" s="15" t="inlineStr">
        <is>
          <t>No</t>
        </is>
      </c>
      <c r="R111" s="16" t="n">
        <v>3418.16</v>
      </c>
      <c r="S111" s="16" t="n">
        <v>2931.56</v>
      </c>
      <c r="T111" s="16" t="n">
        <v>486.5999999999999</v>
      </c>
      <c r="U111" s="17" t="n">
        <v>16.59867101474983</v>
      </c>
      <c r="V111" s="18" t="n">
        <v>-0.1295241682631155</v>
      </c>
      <c r="W111" s="15" t="inlineStr">
        <is>
          <t>No</t>
        </is>
      </c>
      <c r="X111" s="15" t="inlineStr"/>
    </row>
    <row r="112">
      <c r="A112" s="14" t="n">
        <v>223784</v>
      </c>
      <c r="B112" s="15" t="inlineStr">
        <is>
          <t>RW-260730-154720</t>
        </is>
      </c>
      <c r="C112" s="15" t="inlineStr">
        <is>
          <t>Yes</t>
        </is>
      </c>
      <c r="D112" s="15" t="inlineStr">
        <is>
          <t>Skybox Packaging, LLC</t>
        </is>
      </c>
      <c r="E112" s="15" t="inlineStr">
        <is>
          <t>Case# 00011159 - REVISED - Targeted Pet Treats Shelf Display</t>
        </is>
      </c>
      <c r="F112" s="15" t="inlineStr">
        <is>
          <t>Option 1</t>
        </is>
      </c>
      <c r="G112" s="14" t="n">
        <v>1</v>
      </c>
      <c r="H112" s="15" t="inlineStr">
        <is>
          <t>1-49</t>
        </is>
      </c>
      <c r="I112" s="15" t="inlineStr">
        <is>
          <t>1</t>
        </is>
      </c>
      <c r="J112" s="14" t="n">
        <v>3</v>
      </c>
      <c r="K112" s="14" t="n">
        <v>3</v>
      </c>
      <c r="L112" s="15" t="inlineStr">
        <is>
          <t>opt+qty</t>
        </is>
      </c>
      <c r="M112" s="15" t="inlineStr">
        <is>
          <t>Gloss/Satin</t>
        </is>
      </c>
      <c r="N112" s="15" t="inlineStr">
        <is>
          <t>Print</t>
        </is>
      </c>
      <c r="O112" s="15" t="inlineStr">
        <is>
          <t>CAD</t>
        </is>
      </c>
      <c r="P112" s="15" t="inlineStr">
        <is>
          <t>ECT 32 B</t>
        </is>
      </c>
      <c r="Q112" s="15" t="inlineStr">
        <is>
          <t>No</t>
        </is>
      </c>
      <c r="R112" s="16" t="n">
        <v>1030.33</v>
      </c>
      <c r="S112" s="16" t="n">
        <v>646.66</v>
      </c>
      <c r="T112" s="16" t="n">
        <v>383.67</v>
      </c>
      <c r="U112" s="17" t="n">
        <v>59.33102403117557</v>
      </c>
      <c r="V112" s="18" t="n">
        <v>0.7877279912156154</v>
      </c>
      <c r="W112" s="15" t="inlineStr">
        <is>
          <t>No</t>
        </is>
      </c>
      <c r="X112" s="15" t="inlineStr"/>
    </row>
    <row r="113">
      <c r="A113" s="14" t="n">
        <v>223785</v>
      </c>
      <c r="B113" s="15" t="inlineStr">
        <is>
          <t>RW-260721-102108</t>
        </is>
      </c>
      <c r="C113" s="15" t="inlineStr">
        <is>
          <t>Yes</t>
        </is>
      </c>
      <c r="D113" s="15" t="inlineStr">
        <is>
          <t>Massillon Container Company</t>
        </is>
      </c>
      <c r="E113" s="15" t="inlineStr">
        <is>
          <t>Fatt Boyy Knife &amp; Tool - Folding Knife Pizza Box</t>
        </is>
      </c>
      <c r="F113" s="15" t="inlineStr">
        <is>
          <t>Kraft/Kraft - with white</t>
        </is>
      </c>
      <c r="G113" s="14" t="n">
        <v>500</v>
      </c>
      <c r="H113" s="15" t="inlineStr">
        <is>
          <t>200-999</t>
        </is>
      </c>
      <c r="I113" s="15" t="inlineStr">
        <is>
          <t>500</t>
        </is>
      </c>
      <c r="J113" s="14" t="n">
        <v>1</v>
      </c>
      <c r="K113" s="14" t="n">
        <v>1</v>
      </c>
      <c r="L113" s="15" t="inlineStr">
        <is>
          <t>opt+qty</t>
        </is>
      </c>
      <c r="M113" s="15" t="inlineStr">
        <is>
          <t>Satin</t>
        </is>
      </c>
      <c r="N113" s="15" t="inlineStr">
        <is>
          <t>Print</t>
        </is>
      </c>
      <c r="O113" s="15" t="inlineStr">
        <is>
          <t>CAD</t>
        </is>
      </c>
      <c r="P113" s="15" t="inlineStr">
        <is>
          <t>ECT 32 E</t>
        </is>
      </c>
      <c r="Q113" s="15" t="inlineStr">
        <is>
          <t>No</t>
        </is>
      </c>
      <c r="R113" s="16" t="n">
        <v>1187.43</v>
      </c>
      <c r="S113" s="16" t="n">
        <v>1003.06</v>
      </c>
      <c r="T113" s="16" t="n">
        <v>184.3700000000001</v>
      </c>
      <c r="U113" s="17" t="n">
        <v>18.3807548900365</v>
      </c>
      <c r="V113" s="18" t="n">
        <v>-0.09127164605001378</v>
      </c>
      <c r="W113" s="15" t="inlineStr">
        <is>
          <t>No</t>
        </is>
      </c>
      <c r="X113" s="15" t="inlineStr"/>
    </row>
    <row r="114">
      <c r="A114" s="14" t="n">
        <v>223791</v>
      </c>
      <c r="B114" s="15" t="inlineStr">
        <is>
          <t>RW-260723-084853</t>
        </is>
      </c>
      <c r="C114" s="15" t="inlineStr">
        <is>
          <t>No</t>
        </is>
      </c>
      <c r="D114" s="15" t="inlineStr">
        <is>
          <t>PFI Instore</t>
        </is>
      </c>
      <c r="E114" s="15" t="inlineStr">
        <is>
          <t>Concept 100 Valentines Day Display</t>
        </is>
      </c>
      <c r="F114" s="15" t="inlineStr">
        <is>
          <t>Option 1</t>
        </is>
      </c>
      <c r="G114" s="14" t="n">
        <v>8</v>
      </c>
      <c r="H114" s="15" t="inlineStr">
        <is>
          <t>1-49</t>
        </is>
      </c>
      <c r="I114" s="15" t="inlineStr">
        <is>
          <t>8</t>
        </is>
      </c>
      <c r="J114" s="14" t="n">
        <v>9</v>
      </c>
      <c r="K114" s="14" t="n">
        <v>9</v>
      </c>
      <c r="L114" s="15" t="inlineStr">
        <is>
          <t>opt+qty</t>
        </is>
      </c>
      <c r="M114" s="15" t="inlineStr">
        <is>
          <t>Gloss</t>
        </is>
      </c>
      <c r="N114" s="15" t="inlineStr">
        <is>
          <t>Print</t>
        </is>
      </c>
      <c r="O114" s="15" t="inlineStr">
        <is>
          <t>CAD</t>
        </is>
      </c>
      <c r="P114" s="15" t="inlineStr">
        <is>
          <t>200 B</t>
        </is>
      </c>
      <c r="Q114" s="15" t="inlineStr">
        <is>
          <t>No</t>
        </is>
      </c>
      <c r="R114" s="16" t="n">
        <v>5445.12</v>
      </c>
      <c r="S114" s="16" t="n">
        <v>4461.639999999999</v>
      </c>
      <c r="T114" s="16" t="n">
        <v>983.4800000000005</v>
      </c>
      <c r="U114" s="17" t="n">
        <v>22.04301557274905</v>
      </c>
      <c r="V114" s="18" t="n">
        <v>-0.01266103178075283</v>
      </c>
      <c r="W114" s="15" t="inlineStr">
        <is>
          <t>No</t>
        </is>
      </c>
      <c r="X114" s="15" t="inlineStr">
        <is>
          <t>material override in SPOT making it 1 out on 70x51.25 sheet | material override in SPOT making it 1 out on 70x51.25 sheet | material override in SPOT making it 1 out on 70x51.25 sheet | material override in SPOT making it 1 out on 70x51.25 sheet</t>
        </is>
      </c>
    </row>
    <row r="115">
      <c r="A115" s="14" t="n">
        <v>223791</v>
      </c>
      <c r="B115" s="15" t="inlineStr">
        <is>
          <t>RW-260723-084853</t>
        </is>
      </c>
      <c r="C115" s="15" t="inlineStr">
        <is>
          <t>No</t>
        </is>
      </c>
      <c r="D115" s="15" t="inlineStr">
        <is>
          <t>PFI Instore</t>
        </is>
      </c>
      <c r="E115" s="15" t="inlineStr">
        <is>
          <t>Concept 100 Valentines Day Display</t>
        </is>
      </c>
      <c r="F115" s="15" t="inlineStr">
        <is>
          <t>Option 1</t>
        </is>
      </c>
      <c r="G115" s="14" t="n">
        <v>15</v>
      </c>
      <c r="H115" s="15" t="inlineStr">
        <is>
          <t>1-49</t>
        </is>
      </c>
      <c r="I115" s="15" t="inlineStr">
        <is>
          <t>15</t>
        </is>
      </c>
      <c r="J115" s="14" t="n">
        <v>9</v>
      </c>
      <c r="K115" s="14" t="n">
        <v>9</v>
      </c>
      <c r="L115" s="15" t="inlineStr">
        <is>
          <t>opt+qty</t>
        </is>
      </c>
      <c r="M115" s="15" t="inlineStr">
        <is>
          <t>Gloss</t>
        </is>
      </c>
      <c r="N115" s="15" t="inlineStr">
        <is>
          <t>Print</t>
        </is>
      </c>
      <c r="O115" s="15" t="inlineStr">
        <is>
          <t>CAD</t>
        </is>
      </c>
      <c r="P115" s="15" t="inlineStr">
        <is>
          <t>200 B</t>
        </is>
      </c>
      <c r="Q115" s="15" t="inlineStr">
        <is>
          <t>No</t>
        </is>
      </c>
      <c r="R115" s="16" t="n">
        <v>7503.84</v>
      </c>
      <c r="S115" s="16" t="n">
        <v>5653.509999999999</v>
      </c>
      <c r="T115" s="16" t="n">
        <v>1850.330000000001</v>
      </c>
      <c r="U115" s="17" t="n">
        <v>32.72887109070296</v>
      </c>
      <c r="V115" s="18" t="n">
        <v>0.2167114075500119</v>
      </c>
      <c r="W115" s="15" t="inlineStr">
        <is>
          <t>No</t>
        </is>
      </c>
      <c r="X115" s="15" t="inlineStr">
        <is>
          <t>material override in SPOT making it 1 out on 70x51.25 sheet | material override in SPOT making it 1 out on 70x51.25 sheet | material override in SPOT making it 1 out on 70x51.25 sheet | material override in SPOT making it 1 out on 70x51.25 sheet | ma</t>
        </is>
      </c>
    </row>
    <row r="116">
      <c r="A116" s="14" t="n">
        <v>223837</v>
      </c>
      <c r="B116" s="15" t="inlineStr">
        <is>
          <t>RW-260807-142934</t>
        </is>
      </c>
      <c r="C116" s="15" t="inlineStr">
        <is>
          <t>Yes</t>
        </is>
      </c>
      <c r="D116" s="15" t="inlineStr">
        <is>
          <t>Apex Display Group</t>
        </is>
      </c>
      <c r="E116" s="15" t="inlineStr">
        <is>
          <t>1160-10-14 Cento</t>
        </is>
      </c>
      <c r="F116" s="15" t="inlineStr"/>
      <c r="G116" s="14" t="n">
        <v>501</v>
      </c>
      <c r="H116" s="15" t="inlineStr">
        <is>
          <t>200-999</t>
        </is>
      </c>
      <c r="I116" s="15" t="inlineStr">
        <is>
          <t>501</t>
        </is>
      </c>
      <c r="J116" s="14" t="n">
        <v>1</v>
      </c>
      <c r="K116" s="14" t="n">
        <v>1</v>
      </c>
      <c r="L116" s="15" t="inlineStr">
        <is>
          <t>qty-only</t>
        </is>
      </c>
      <c r="M116" s="15" t="inlineStr">
        <is>
          <t>Gloss</t>
        </is>
      </c>
      <c r="N116" s="15" t="inlineStr">
        <is>
          <t>Print</t>
        </is>
      </c>
      <c r="O116" s="15" t="inlineStr">
        <is>
          <t>CAD</t>
        </is>
      </c>
      <c r="P116" s="15" t="inlineStr">
        <is>
          <t>200 B</t>
        </is>
      </c>
      <c r="Q116" s="15" t="inlineStr">
        <is>
          <t>No</t>
        </is>
      </c>
      <c r="R116" s="16" t="n">
        <v>1617.15</v>
      </c>
      <c r="S116" s="16" t="n">
        <v>1221.28</v>
      </c>
      <c r="T116" s="16" t="n">
        <v>395.8700000000001</v>
      </c>
      <c r="U116" s="17" t="n">
        <v>32.41435215511596</v>
      </c>
      <c r="V116" s="18" t="n">
        <v>0.2099602423906013</v>
      </c>
      <c r="W116" s="15" t="inlineStr">
        <is>
          <t>No</t>
        </is>
      </c>
      <c r="X116" s="15" t="inlineStr">
        <is>
          <t>Includes $200 proof charge in SPOT</t>
        </is>
      </c>
    </row>
    <row r="117">
      <c r="A117" s="14" t="n">
        <v>223851</v>
      </c>
      <c r="B117" s="15" t="inlineStr">
        <is>
          <t>RW-260724-153643</t>
        </is>
      </c>
      <c r="C117" s="15" t="inlineStr">
        <is>
          <t>No</t>
        </is>
      </c>
      <c r="D117" s="15" t="inlineStr">
        <is>
          <t>Weber Display &amp; Packaging</t>
        </is>
      </c>
      <c r="E117" s="15" t="inlineStr">
        <is>
          <t>Mala Girl 3 Pak PDQ</t>
        </is>
      </c>
      <c r="F117" s="15" t="inlineStr">
        <is>
          <t>Option 1</t>
        </is>
      </c>
      <c r="G117" s="14" t="n">
        <v>25</v>
      </c>
      <c r="H117" s="15" t="inlineStr">
        <is>
          <t>1-49</t>
        </is>
      </c>
      <c r="I117" s="15" t="inlineStr">
        <is>
          <t>25</t>
        </is>
      </c>
      <c r="J117" s="14" t="n">
        <v>2</v>
      </c>
      <c r="K117" s="14" t="n">
        <v>2</v>
      </c>
      <c r="L117" s="15" t="inlineStr">
        <is>
          <t>opt+qty</t>
        </is>
      </c>
      <c r="M117" s="15" t="inlineStr">
        <is>
          <t>Gloss/Satin</t>
        </is>
      </c>
      <c r="N117" s="15" t="inlineStr">
        <is>
          <t>Print</t>
        </is>
      </c>
      <c r="O117" s="15" t="inlineStr">
        <is>
          <t>CAD</t>
        </is>
      </c>
      <c r="P117" s="15" t="inlineStr">
        <is>
          <t>200 B</t>
        </is>
      </c>
      <c r="Q117" s="15" t="inlineStr">
        <is>
          <t>No</t>
        </is>
      </c>
      <c r="R117" s="16" t="n">
        <v>1527.17</v>
      </c>
      <c r="S117" s="16" t="n">
        <v>1079.65</v>
      </c>
      <c r="T117" s="16" t="n">
        <v>447.52</v>
      </c>
      <c r="U117" s="17" t="n">
        <v>41.45047005974158</v>
      </c>
      <c r="V117" s="18" t="n">
        <v>0.4039209788409513</v>
      </c>
      <c r="W117" s="15" t="inlineStr">
        <is>
          <t>No</t>
        </is>
      </c>
      <c r="X117" s="15" t="inlineStr"/>
    </row>
    <row r="118">
      <c r="A118" s="14" t="n">
        <v>223855</v>
      </c>
      <c r="B118" s="15" t="inlineStr">
        <is>
          <t>RW-260731-133402</t>
        </is>
      </c>
      <c r="C118" s="15" t="inlineStr">
        <is>
          <t>No</t>
        </is>
      </c>
      <c r="D118" s="15" t="inlineStr">
        <is>
          <t>Massillon Container</t>
        </is>
      </c>
      <c r="E118" s="15" t="inlineStr">
        <is>
          <t>Tank Holdings - 110 lb. Tow Spreader</t>
        </is>
      </c>
      <c r="F118" s="15" t="inlineStr">
        <is>
          <t>275# DW BC-Flute</t>
        </is>
      </c>
      <c r="G118" s="14" t="n">
        <v>85</v>
      </c>
      <c r="H118" s="15" t="inlineStr">
        <is>
          <t>50-199</t>
        </is>
      </c>
      <c r="I118" s="15" t="inlineStr">
        <is>
          <t>85</t>
        </is>
      </c>
      <c r="J118" s="14" t="n">
        <v>1</v>
      </c>
      <c r="K118" s="14" t="n">
        <v>1</v>
      </c>
      <c r="L118" s="15" t="inlineStr">
        <is>
          <t>opt+qty</t>
        </is>
      </c>
      <c r="M118" s="15" t="inlineStr">
        <is>
          <t>Satin</t>
        </is>
      </c>
      <c r="N118" s="15" t="inlineStr">
        <is>
          <t>Print</t>
        </is>
      </c>
      <c r="O118" s="15" t="inlineStr">
        <is>
          <t>Saber + D/C</t>
        </is>
      </c>
      <c r="P118" s="15" t="inlineStr">
        <is>
          <t>275 DW B/C</t>
        </is>
      </c>
      <c r="Q118" s="15" t="inlineStr">
        <is>
          <t>Yes</t>
        </is>
      </c>
      <c r="R118" s="16" t="n">
        <v>5455.38</v>
      </c>
      <c r="S118" s="16" t="n">
        <v>1832.86</v>
      </c>
      <c r="T118" s="16" t="n">
        <v>3622.52</v>
      </c>
      <c r="U118" s="17" t="n">
        <v>197.6430278362778</v>
      </c>
      <c r="V118" s="18" t="n">
        <v>3.756602280054671</v>
      </c>
      <c r="W118" s="15" t="inlineStr">
        <is>
          <t>No</t>
        </is>
      </c>
      <c r="X118" s="15" t="inlineStr">
        <is>
          <t>275 DW B/C Kraft/Kraft using 85, purchasing 412</t>
        </is>
      </c>
    </row>
    <row r="119">
      <c r="A119" s="14" t="n">
        <v>223860</v>
      </c>
      <c r="B119" s="15" t="inlineStr">
        <is>
          <t>RW-260731-115427</t>
        </is>
      </c>
      <c r="C119" s="15" t="inlineStr">
        <is>
          <t>No</t>
        </is>
      </c>
      <c r="D119" s="15" t="inlineStr">
        <is>
          <t>PCA - New Oxford</t>
        </is>
      </c>
      <c r="E119" s="15" t="inlineStr">
        <is>
          <t>J63240 - Sam's Club Filtration Pallet Display</t>
        </is>
      </c>
      <c r="F119" s="15" t="inlineStr">
        <is>
          <t>Die Cut 2510223768</t>
        </is>
      </c>
      <c r="G119" s="14" t="n">
        <v>272</v>
      </c>
      <c r="H119" s="15" t="inlineStr">
        <is>
          <t>200-999</t>
        </is>
      </c>
      <c r="I119" s="15" t="inlineStr">
        <is>
          <t>20-272</t>
        </is>
      </c>
      <c r="J119" s="14" t="n">
        <v>4</v>
      </c>
      <c r="K119" s="14" t="n">
        <v>4</v>
      </c>
      <c r="L119" s="15" t="inlineStr">
        <is>
          <t>opt+qty</t>
        </is>
      </c>
      <c r="M119" s="15" t="inlineStr">
        <is>
          <t>Gloss</t>
        </is>
      </c>
      <c r="N119" s="15" t="inlineStr">
        <is>
          <t>Print</t>
        </is>
      </c>
      <c r="O119" s="15" t="inlineStr">
        <is>
          <t>CAD/Saber + D/C</t>
        </is>
      </c>
      <c r="P119" s="15" t="inlineStr">
        <is>
          <t>200 C</t>
        </is>
      </c>
      <c r="Q119" s="15" t="inlineStr">
        <is>
          <t>No</t>
        </is>
      </c>
      <c r="R119" s="16" t="n">
        <v>9336.77</v>
      </c>
      <c r="S119" s="16" t="n">
        <v>8571.190000000001</v>
      </c>
      <c r="T119" s="16" t="n">
        <v>765.5799999999999</v>
      </c>
      <c r="U119" s="17" t="n">
        <v>8.932015274425137</v>
      </c>
      <c r="V119" s="18" t="n">
        <v>-0.2940893287889055</v>
      </c>
      <c r="W119" s="15" t="inlineStr">
        <is>
          <t>No</t>
        </is>
      </c>
      <c r="X119" s="15" t="inlineStr"/>
    </row>
    <row r="120">
      <c r="A120" s="14" t="n">
        <v>223864</v>
      </c>
      <c r="B120" s="15" t="inlineStr">
        <is>
          <t>CS-260803-133009</t>
        </is>
      </c>
      <c r="C120" s="15" t="inlineStr">
        <is>
          <t>No</t>
        </is>
      </c>
      <c r="D120" s="15" t="inlineStr">
        <is>
          <t>Skybox Packaging, LLC</t>
        </is>
      </c>
      <c r="E120" s="15" t="inlineStr">
        <is>
          <t>Targeted Pet Treats - Country Kitchen Promotional Shipper</t>
        </is>
      </c>
      <c r="F120" s="15" t="inlineStr">
        <is>
          <t xml:space="preserve">CAD Cut </t>
        </is>
      </c>
      <c r="G120" s="14" t="n">
        <v>2</v>
      </c>
      <c r="H120" s="15" t="inlineStr">
        <is>
          <t>1-49</t>
        </is>
      </c>
      <c r="I120" s="15" t="inlineStr">
        <is>
          <t>1-2</t>
        </is>
      </c>
      <c r="J120" s="14" t="n">
        <v>3</v>
      </c>
      <c r="K120" s="14" t="n">
        <v>3</v>
      </c>
      <c r="L120" s="15" t="inlineStr">
        <is>
          <t>opt+qty</t>
        </is>
      </c>
      <c r="M120" s="15" t="inlineStr">
        <is>
          <t>Satin</t>
        </is>
      </c>
      <c r="N120" s="15" t="inlineStr">
        <is>
          <t>Print</t>
        </is>
      </c>
      <c r="O120" s="15" t="inlineStr">
        <is>
          <t>CAD</t>
        </is>
      </c>
      <c r="P120" s="15" t="inlineStr">
        <is>
          <t>ECT 32 B</t>
        </is>
      </c>
      <c r="Q120" s="15" t="inlineStr">
        <is>
          <t>No</t>
        </is>
      </c>
      <c r="R120" s="16" t="n">
        <v>1061.99</v>
      </c>
      <c r="S120" s="16" t="n">
        <v>895.8099999999999</v>
      </c>
      <c r="T120" s="16" t="n">
        <v>166.1800000000001</v>
      </c>
      <c r="U120" s="17" t="n">
        <v>18.55080876525157</v>
      </c>
      <c r="V120" s="18" t="n">
        <v>-0.08762143085571381</v>
      </c>
      <c r="W120" s="15" t="inlineStr">
        <is>
          <t>No</t>
        </is>
      </c>
      <c r="X120" s="15" t="inlineStr"/>
    </row>
    <row r="121">
      <c r="A121" s="14" t="n">
        <v>223864</v>
      </c>
      <c r="B121" s="15" t="inlineStr">
        <is>
          <t>CS-260803-133009</t>
        </is>
      </c>
      <c r="C121" s="15" t="inlineStr">
        <is>
          <t>No</t>
        </is>
      </c>
      <c r="D121" s="15" t="inlineStr">
        <is>
          <t>Skybox Packaging, LLC</t>
        </is>
      </c>
      <c r="E121" s="15" t="inlineStr">
        <is>
          <t>Targeted Pet Treats - Country Kitchen Promotional Shipper</t>
        </is>
      </c>
      <c r="F121" s="15" t="inlineStr">
        <is>
          <t>Die Cut</t>
        </is>
      </c>
      <c r="G121" s="14" t="n">
        <v>1000</v>
      </c>
      <c r="H121" s="15" t="inlineStr">
        <is>
          <t>1000-4999</t>
        </is>
      </c>
      <c r="I121" s="15" t="inlineStr">
        <is>
          <t>500-1000</t>
        </is>
      </c>
      <c r="J121" s="14" t="n">
        <v>3</v>
      </c>
      <c r="K121" s="14" t="n">
        <v>5</v>
      </c>
      <c r="L121" s="15" t="inlineStr">
        <is>
          <t>opt+qty</t>
        </is>
      </c>
      <c r="M121" s="15" t="inlineStr">
        <is>
          <t>Satin</t>
        </is>
      </c>
      <c r="N121" s="15" t="inlineStr">
        <is>
          <t>Print</t>
        </is>
      </c>
      <c r="O121" s="15" t="inlineStr">
        <is>
          <t>CAD/Crest</t>
        </is>
      </c>
      <c r="P121" s="15" t="inlineStr">
        <is>
          <t>ECT 32 B</t>
        </is>
      </c>
      <c r="Q121" s="15" t="inlineStr">
        <is>
          <t>No</t>
        </is>
      </c>
      <c r="R121" s="16" t="n">
        <v>23000.34</v>
      </c>
      <c r="S121" s="16" t="n">
        <v>53780.3</v>
      </c>
      <c r="T121" s="16" t="n">
        <v>-30779.96</v>
      </c>
      <c r="U121" s="17" t="n">
        <v>-57.23277854530377</v>
      </c>
      <c r="V121" s="18" t="n">
        <v>-1.714320037574892</v>
      </c>
      <c r="W121" s="15" t="inlineStr">
        <is>
          <t>No</t>
        </is>
      </c>
      <c r="X121" s="15" t="inlineStr">
        <is>
          <t>For this combination, SPOT chose CAD but iQuote used Crest</t>
        </is>
      </c>
    </row>
    <row r="122">
      <c r="A122" s="14" t="n">
        <v>223864</v>
      </c>
      <c r="B122" s="15" t="inlineStr">
        <is>
          <t>CS-260803-133009</t>
        </is>
      </c>
      <c r="C122" s="15" t="inlineStr">
        <is>
          <t>No</t>
        </is>
      </c>
      <c r="D122" s="15" t="inlineStr">
        <is>
          <t>Skybox Packaging, LLC</t>
        </is>
      </c>
      <c r="E122" s="15" t="inlineStr">
        <is>
          <t>Targeted Pet Treats - Country Kitchen Promotional Shipper</t>
        </is>
      </c>
      <c r="F122" s="15" t="inlineStr">
        <is>
          <t>Die Cut</t>
        </is>
      </c>
      <c r="G122" s="14" t="n">
        <v>2000</v>
      </c>
      <c r="H122" s="15" t="inlineStr">
        <is>
          <t>1000-4999</t>
        </is>
      </c>
      <c r="I122" s="15" t="inlineStr">
        <is>
          <t>1000-2000</t>
        </is>
      </c>
      <c r="J122" s="14" t="n">
        <v>3</v>
      </c>
      <c r="K122" s="14" t="n">
        <v>6</v>
      </c>
      <c r="L122" s="15" t="inlineStr">
        <is>
          <t>opt+qty</t>
        </is>
      </c>
      <c r="M122" s="15" t="inlineStr">
        <is>
          <t>Satin</t>
        </is>
      </c>
      <c r="N122" s="15" t="inlineStr">
        <is>
          <t>Print</t>
        </is>
      </c>
      <c r="O122" s="15" t="inlineStr">
        <is>
          <t>Crest</t>
        </is>
      </c>
      <c r="P122" s="15" t="inlineStr">
        <is>
          <t>ECT 32 B</t>
        </is>
      </c>
      <c r="Q122" s="15" t="inlineStr">
        <is>
          <t>No</t>
        </is>
      </c>
      <c r="R122" s="16" t="n">
        <v>42242.34</v>
      </c>
      <c r="S122" s="16" t="n">
        <v>103391.73</v>
      </c>
      <c r="T122" s="16" t="n">
        <v>-61149.38999999998</v>
      </c>
      <c r="U122" s="17" t="n">
        <v>-59.14340537681302</v>
      </c>
      <c r="V122" s="18" t="n">
        <v>-1.755331740967079</v>
      </c>
      <c r="W122" s="15" t="inlineStr">
        <is>
          <t>No</t>
        </is>
      </c>
      <c r="X122" s="15" t="inlineStr"/>
    </row>
    <row r="123">
      <c r="A123" s="14" t="n">
        <v>223864</v>
      </c>
      <c r="B123" s="15" t="inlineStr">
        <is>
          <t>CS-260803-133009</t>
        </is>
      </c>
      <c r="C123" s="15" t="inlineStr">
        <is>
          <t>No</t>
        </is>
      </c>
      <c r="D123" s="15" t="inlineStr">
        <is>
          <t>Skybox Packaging, LLC</t>
        </is>
      </c>
      <c r="E123" s="15" t="inlineStr">
        <is>
          <t>Targeted Pet Treats - Country Kitchen Promotional Shipper</t>
        </is>
      </c>
      <c r="F123" s="15" t="inlineStr">
        <is>
          <t>Die Cut</t>
        </is>
      </c>
      <c r="G123" s="14" t="n">
        <v>4000</v>
      </c>
      <c r="H123" s="15" t="inlineStr">
        <is>
          <t>1000-4999</t>
        </is>
      </c>
      <c r="I123" s="15" t="inlineStr">
        <is>
          <t>2000-4000</t>
        </is>
      </c>
      <c r="J123" s="14" t="n">
        <v>3</v>
      </c>
      <c r="K123" s="14" t="n">
        <v>4</v>
      </c>
      <c r="L123" s="15" t="inlineStr">
        <is>
          <t>opt+qty</t>
        </is>
      </c>
      <c r="M123" s="15" t="inlineStr">
        <is>
          <t>Satin</t>
        </is>
      </c>
      <c r="N123" s="15" t="inlineStr">
        <is>
          <t>Print</t>
        </is>
      </c>
      <c r="O123" s="15" t="inlineStr">
        <is>
          <t>Crest</t>
        </is>
      </c>
      <c r="P123" s="15" t="inlineStr">
        <is>
          <t>ECT 32 B</t>
        </is>
      </c>
      <c r="Q123" s="15" t="inlineStr">
        <is>
          <t>No</t>
        </is>
      </c>
      <c r="R123" s="16" t="n">
        <v>67531.75999999999</v>
      </c>
      <c r="S123" s="16" t="n">
        <v>78419.12</v>
      </c>
      <c r="T123" s="16" t="n">
        <v>-10887.36</v>
      </c>
      <c r="U123" s="17" t="n">
        <v>-13.88355288863226</v>
      </c>
      <c r="V123" s="18" t="n">
        <v>-0.7838266750860842</v>
      </c>
      <c r="W123" s="15" t="inlineStr">
        <is>
          <t>No</t>
        </is>
      </c>
      <c r="X123" s="15" t="inlineStr"/>
    </row>
    <row r="124">
      <c r="A124" s="14" t="n">
        <v>223878</v>
      </c>
      <c r="B124" s="15" t="inlineStr">
        <is>
          <t>RW-260731-113050</t>
        </is>
      </c>
      <c r="C124" s="15" t="inlineStr">
        <is>
          <t>No</t>
        </is>
      </c>
      <c r="D124" s="15" t="inlineStr">
        <is>
          <t>Skybox Packaging, LLC</t>
        </is>
      </c>
      <c r="E124" s="15" t="inlineStr">
        <is>
          <t>Walmart Sidekick Display - Lubrication Specialties (Hot Shot's Secret)</t>
        </is>
      </c>
      <c r="F124" s="15" t="inlineStr">
        <is>
          <t>Option 1</t>
        </is>
      </c>
      <c r="G124" s="14" t="n">
        <v>500</v>
      </c>
      <c r="H124" s="15" t="inlineStr">
        <is>
          <t>200-999</t>
        </is>
      </c>
      <c r="I124" s="15" t="inlineStr">
        <is>
          <t>250-500</t>
        </is>
      </c>
      <c r="J124" s="14" t="n">
        <v>2</v>
      </c>
      <c r="K124" s="14" t="n">
        <v>2</v>
      </c>
      <c r="L124" s="15" t="inlineStr">
        <is>
          <t>opt+qty</t>
        </is>
      </c>
      <c r="M124" s="15" t="inlineStr">
        <is>
          <t>Satin</t>
        </is>
      </c>
      <c r="N124" s="15" t="inlineStr">
        <is>
          <t>Print</t>
        </is>
      </c>
      <c r="O124" s="15" t="inlineStr">
        <is>
          <t>CAD</t>
        </is>
      </c>
      <c r="P124" s="15" t="inlineStr">
        <is>
          <t>ECT 44 E</t>
        </is>
      </c>
      <c r="Q124" s="15" t="inlineStr">
        <is>
          <t>No</t>
        </is>
      </c>
      <c r="R124" s="16" t="n">
        <v>2698.01</v>
      </c>
      <c r="S124" s="16" t="n">
        <v>3136.48</v>
      </c>
      <c r="T124" s="16" t="n">
        <v>-438.4699999999998</v>
      </c>
      <c r="U124" s="17" t="n">
        <v>-13.9796842320053</v>
      </c>
      <c r="V124" s="18" t="n">
        <v>-0.7858901393251961</v>
      </c>
      <c r="W124" s="15" t="inlineStr">
        <is>
          <t>No</t>
        </is>
      </c>
      <c r="X124" s="15" t="inlineStr"/>
    </row>
    <row r="125">
      <c r="A125" s="14" t="n">
        <v>223878</v>
      </c>
      <c r="B125" s="15" t="inlineStr">
        <is>
          <t>RW-260731-113050</t>
        </is>
      </c>
      <c r="C125" s="15" t="inlineStr">
        <is>
          <t>No</t>
        </is>
      </c>
      <c r="D125" s="15" t="inlineStr">
        <is>
          <t>Skybox Packaging, LLC</t>
        </is>
      </c>
      <c r="E125" s="15" t="inlineStr">
        <is>
          <t>Walmart Sidekick Display - Lubrication Specialties (Hot Shot's Secret)</t>
        </is>
      </c>
      <c r="F125" s="15" t="inlineStr">
        <is>
          <t>Option 1</t>
        </is>
      </c>
      <c r="G125" s="14" t="n">
        <v>2000</v>
      </c>
      <c r="H125" s="15" t="inlineStr">
        <is>
          <t>1000-4999</t>
        </is>
      </c>
      <c r="I125" s="15" t="inlineStr">
        <is>
          <t>1000-2000</t>
        </is>
      </c>
      <c r="J125" s="14" t="n">
        <v>2</v>
      </c>
      <c r="K125" s="14" t="n">
        <v>2</v>
      </c>
      <c r="L125" s="15" t="inlineStr">
        <is>
          <t>opt+qty</t>
        </is>
      </c>
      <c r="M125" s="15" t="inlineStr">
        <is>
          <t>Satin</t>
        </is>
      </c>
      <c r="N125" s="15" t="inlineStr">
        <is>
          <t>Print</t>
        </is>
      </c>
      <c r="O125" s="15" t="inlineStr">
        <is>
          <t>CAD</t>
        </is>
      </c>
      <c r="P125" s="15" t="inlineStr">
        <is>
          <t>ECT 44 E</t>
        </is>
      </c>
      <c r="Q125" s="15" t="inlineStr">
        <is>
          <t>No</t>
        </is>
      </c>
      <c r="R125" s="16" t="n">
        <v>4091.55</v>
      </c>
      <c r="S125" s="16" t="n">
        <v>2128.56</v>
      </c>
      <c r="T125" s="16" t="n">
        <v>1962.99</v>
      </c>
      <c r="U125" s="17" t="n">
        <v>92.22150186041269</v>
      </c>
      <c r="V125" s="18" t="n">
        <v>1.493723792653429</v>
      </c>
      <c r="W125" s="15" t="inlineStr">
        <is>
          <t>No</t>
        </is>
      </c>
      <c r="X125" s="15" t="inlineStr"/>
    </row>
    <row r="126">
      <c r="A126" s="14" t="n">
        <v>223880</v>
      </c>
      <c r="B126" s="15" t="inlineStr">
        <is>
          <t>RW-260730-115948</t>
        </is>
      </c>
      <c r="C126" s="15" t="inlineStr">
        <is>
          <t>Yes</t>
        </is>
      </c>
      <c r="D126" s="15" t="inlineStr">
        <is>
          <t>PCA Pennsylvania Acquisition Corporation</t>
        </is>
      </c>
      <c r="E126" s="15" t="inlineStr">
        <is>
          <t>L'Oreal C15 LP COS ZUS01644 Inserts</t>
        </is>
      </c>
      <c r="F126" s="15" t="inlineStr"/>
      <c r="G126" s="14" t="n">
        <v>22000</v>
      </c>
      <c r="H126" s="15" t="inlineStr">
        <is>
          <t>5000+</t>
        </is>
      </c>
      <c r="I126" s="15" t="inlineStr">
        <is>
          <t>22000</t>
        </is>
      </c>
      <c r="J126" s="14" t="n">
        <v>1</v>
      </c>
      <c r="K126" s="14" t="n">
        <v>1</v>
      </c>
      <c r="L126" s="15" t="inlineStr">
        <is>
          <t>qty-only</t>
        </is>
      </c>
      <c r="M126" s="15" t="inlineStr">
        <is>
          <t>None</t>
        </is>
      </c>
      <c r="N126" s="15" t="inlineStr">
        <is>
          <t>No Print</t>
        </is>
      </c>
      <c r="O126" s="15" t="inlineStr">
        <is>
          <t>CAD</t>
        </is>
      </c>
      <c r="P126" s="15" t="inlineStr">
        <is>
          <t>ECT 51 B/C</t>
        </is>
      </c>
      <c r="Q126" s="15" t="inlineStr">
        <is>
          <t>No</t>
        </is>
      </c>
      <c r="R126" s="16" t="n">
        <v>3416.08</v>
      </c>
      <c r="S126" s="16" t="n">
        <v>2279.73</v>
      </c>
      <c r="T126" s="16" t="n">
        <v>1136.35</v>
      </c>
      <c r="U126" s="17" t="n">
        <v>49.84581507459217</v>
      </c>
      <c r="V126" s="18" t="n">
        <v>0.5841274921935082</v>
      </c>
      <c r="W126" s="15" t="inlineStr">
        <is>
          <t>No</t>
        </is>
      </c>
      <c r="X126" s="15" t="inlineStr"/>
    </row>
    <row r="127">
      <c r="A127" s="14" t="n">
        <v>223882</v>
      </c>
      <c r="B127" s="15" t="inlineStr">
        <is>
          <t>RW-260730-155953</t>
        </is>
      </c>
      <c r="C127" s="15" t="inlineStr">
        <is>
          <t>No</t>
        </is>
      </c>
      <c r="D127" s="15" t="inlineStr">
        <is>
          <t>PCA Pennsylvania Acquisition Corporation</t>
        </is>
      </c>
      <c r="E127" s="15" t="inlineStr">
        <is>
          <t>SpectroDolce - Fudge Tray Display</t>
        </is>
      </c>
      <c r="F127" s="15" t="inlineStr">
        <is>
          <t>Option 1  CAD cut</t>
        </is>
      </c>
      <c r="G127" s="14" t="n">
        <v>500</v>
      </c>
      <c r="H127" s="15" t="inlineStr">
        <is>
          <t>200-999</t>
        </is>
      </c>
      <c r="I127" s="15" t="inlineStr">
        <is>
          <t>500</t>
        </is>
      </c>
      <c r="J127" s="14" t="n">
        <v>1</v>
      </c>
      <c r="K127" s="14" t="n">
        <v>1</v>
      </c>
      <c r="L127" s="15" t="inlineStr">
        <is>
          <t>opt+qty</t>
        </is>
      </c>
      <c r="M127" s="15" t="inlineStr">
        <is>
          <t>Satin</t>
        </is>
      </c>
      <c r="N127" s="15" t="inlineStr">
        <is>
          <t>Print</t>
        </is>
      </c>
      <c r="O127" s="15" t="inlineStr">
        <is>
          <t>CAD</t>
        </is>
      </c>
      <c r="P127" s="15" t="inlineStr">
        <is>
          <t>200 E</t>
        </is>
      </c>
      <c r="Q127" s="15" t="inlineStr">
        <is>
          <t>No</t>
        </is>
      </c>
      <c r="R127" s="16" t="n">
        <v>2459.87</v>
      </c>
      <c r="S127" s="16" t="n">
        <v>1961.23</v>
      </c>
      <c r="T127" s="16" t="n">
        <v>498.6399999999999</v>
      </c>
      <c r="U127" s="17" t="n">
        <v>25.4248609291108</v>
      </c>
      <c r="V127" s="18" t="n">
        <v>0.05993045305869817</v>
      </c>
      <c r="W127" s="15" t="inlineStr">
        <is>
          <t>No</t>
        </is>
      </c>
      <c r="X127" s="15" t="inlineStr"/>
    </row>
    <row r="128">
      <c r="A128" s="14" t="n">
        <v>223882</v>
      </c>
      <c r="B128" s="15" t="inlineStr">
        <is>
          <t>RW-260730-155953</t>
        </is>
      </c>
      <c r="C128" s="15" t="inlineStr">
        <is>
          <t>No</t>
        </is>
      </c>
      <c r="D128" s="15" t="inlineStr">
        <is>
          <t>PCA Pennsylvania Acquisition Corporation</t>
        </is>
      </c>
      <c r="E128" s="15" t="inlineStr">
        <is>
          <t>SpectroDolce - Fudge Tray Display</t>
        </is>
      </c>
      <c r="F128" s="15" t="inlineStr">
        <is>
          <t>Option 1  CAD cut</t>
        </is>
      </c>
      <c r="G128" s="14" t="n">
        <v>1000</v>
      </c>
      <c r="H128" s="15" t="inlineStr">
        <is>
          <t>1000-4999</t>
        </is>
      </c>
      <c r="I128" s="15" t="inlineStr">
        <is>
          <t>1000</t>
        </is>
      </c>
      <c r="J128" s="14" t="n">
        <v>1</v>
      </c>
      <c r="K128" s="14" t="n">
        <v>1</v>
      </c>
      <c r="L128" s="15" t="inlineStr">
        <is>
          <t>opt+qty</t>
        </is>
      </c>
      <c r="M128" s="15" t="inlineStr">
        <is>
          <t>Satin</t>
        </is>
      </c>
      <c r="N128" s="15" t="inlineStr">
        <is>
          <t>Print</t>
        </is>
      </c>
      <c r="O128" s="15" t="inlineStr">
        <is>
          <t>CAD</t>
        </is>
      </c>
      <c r="P128" s="15" t="inlineStr">
        <is>
          <t>200 E</t>
        </is>
      </c>
      <c r="Q128" s="15" t="inlineStr">
        <is>
          <t>No</t>
        </is>
      </c>
      <c r="R128" s="16" t="n">
        <v>3826.23</v>
      </c>
      <c r="S128" s="16" t="n">
        <v>3441.27</v>
      </c>
      <c r="T128" s="16" t="n">
        <v>384.96</v>
      </c>
      <c r="U128" s="17" t="n">
        <v>11.18656774969706</v>
      </c>
      <c r="V128" s="18" t="n">
        <v>-0.2456952437310015</v>
      </c>
      <c r="W128" s="15" t="inlineStr">
        <is>
          <t>No</t>
        </is>
      </c>
      <c r="X128" s="15" t="inlineStr"/>
    </row>
    <row r="129">
      <c r="A129" s="14" t="n">
        <v>223911</v>
      </c>
      <c r="B129" s="15" t="inlineStr">
        <is>
          <t>RW-260730-164119</t>
        </is>
      </c>
      <c r="C129" s="15" t="inlineStr">
        <is>
          <t>No</t>
        </is>
      </c>
      <c r="D129" s="15" t="inlineStr">
        <is>
          <t>Compass Packaging</t>
        </is>
      </c>
      <c r="E129" s="15" t="inlineStr">
        <is>
          <t>CAL-AC22</t>
        </is>
      </c>
      <c r="F129" s="15" t="inlineStr">
        <is>
          <t>Option 1</t>
        </is>
      </c>
      <c r="G129" s="14" t="n">
        <v>1000</v>
      </c>
      <c r="H129" s="15" t="inlineStr">
        <is>
          <t>1000-4999</t>
        </is>
      </c>
      <c r="I129" s="15" t="inlineStr">
        <is>
          <t>1000</t>
        </is>
      </c>
      <c r="J129" s="14" t="n">
        <v>1</v>
      </c>
      <c r="K129" s="14" t="n">
        <v>1</v>
      </c>
      <c r="L129" s="15" t="inlineStr">
        <is>
          <t>opt+qty</t>
        </is>
      </c>
      <c r="M129" s="15" t="inlineStr">
        <is>
          <t>Satin</t>
        </is>
      </c>
      <c r="N129" s="15" t="inlineStr">
        <is>
          <t>Print</t>
        </is>
      </c>
      <c r="O129" s="15" t="inlineStr">
        <is>
          <t>CAD</t>
        </is>
      </c>
      <c r="P129" s="15" t="inlineStr">
        <is>
          <t>ECT 32 B</t>
        </is>
      </c>
      <c r="Q129" s="15" t="inlineStr">
        <is>
          <t>No</t>
        </is>
      </c>
      <c r="R129" s="16" t="n">
        <v>3254.19</v>
      </c>
      <c r="S129" s="16" t="n">
        <v>4172.85</v>
      </c>
      <c r="T129" s="16" t="n">
        <v>-918.6600000000003</v>
      </c>
      <c r="U129" s="17" t="n">
        <v>-22.0151694884791</v>
      </c>
      <c r="V129" s="18" t="n">
        <v>-0.9583722444207652</v>
      </c>
      <c r="W129" s="15" t="inlineStr">
        <is>
          <t>No</t>
        </is>
      </c>
      <c r="X129" s="15" t="inlineStr"/>
    </row>
    <row r="130">
      <c r="A130" s="14" t="n">
        <v>223911</v>
      </c>
      <c r="B130" s="15" t="inlineStr">
        <is>
          <t>RW-260730-164119</t>
        </is>
      </c>
      <c r="C130" s="15" t="inlineStr">
        <is>
          <t>No</t>
        </is>
      </c>
      <c r="D130" s="15" t="inlineStr">
        <is>
          <t>Compass Packaging</t>
        </is>
      </c>
      <c r="E130" s="15" t="inlineStr">
        <is>
          <t>CAL-AC22</t>
        </is>
      </c>
      <c r="F130" s="15" t="inlineStr">
        <is>
          <t>Option 1</t>
        </is>
      </c>
      <c r="G130" s="14" t="n">
        <v>1500</v>
      </c>
      <c r="H130" s="15" t="inlineStr">
        <is>
          <t>1000-4999</t>
        </is>
      </c>
      <c r="I130" s="15" t="inlineStr">
        <is>
          <t>1500</t>
        </is>
      </c>
      <c r="J130" s="14" t="n">
        <v>1</v>
      </c>
      <c r="K130" s="14" t="n">
        <v>1</v>
      </c>
      <c r="L130" s="15" t="inlineStr">
        <is>
          <t>opt+qty</t>
        </is>
      </c>
      <c r="M130" s="15" t="inlineStr">
        <is>
          <t>Satin</t>
        </is>
      </c>
      <c r="N130" s="15" t="inlineStr">
        <is>
          <t>Print</t>
        </is>
      </c>
      <c r="O130" s="15" t="inlineStr">
        <is>
          <t>CAD</t>
        </is>
      </c>
      <c r="P130" s="15" t="inlineStr">
        <is>
          <t>ECT 32 B</t>
        </is>
      </c>
      <c r="Q130" s="15" t="inlineStr">
        <is>
          <t>No</t>
        </is>
      </c>
      <c r="R130" s="16" t="n">
        <v>4671.8</v>
      </c>
      <c r="S130" s="16" t="n">
        <v>5189.55</v>
      </c>
      <c r="T130" s="16" t="n">
        <v>-517.75</v>
      </c>
      <c r="U130" s="17" t="n">
        <v>-9.976780260330857</v>
      </c>
      <c r="V130" s="18" t="n">
        <v>-0.699967599305155</v>
      </c>
      <c r="W130" s="15" t="inlineStr">
        <is>
          <t>No</t>
        </is>
      </c>
      <c r="X130" s="15" t="inlineStr"/>
    </row>
    <row r="131">
      <c r="A131" s="14" t="n">
        <v>223957</v>
      </c>
      <c r="B131" s="15" t="inlineStr">
        <is>
          <t>RW-260820-091152</t>
        </is>
      </c>
      <c r="C131" s="15" t="inlineStr">
        <is>
          <t>No</t>
        </is>
      </c>
      <c r="D131" s="15" t="inlineStr">
        <is>
          <t>PCA Cheswick</t>
        </is>
      </c>
      <c r="E131" s="15" t="inlineStr">
        <is>
          <t>C11 26 MNY WM Cryo Primer &amp; Spray Sidekick 130799</t>
        </is>
      </c>
      <c r="F131" s="15" t="inlineStr">
        <is>
          <t>Option 1</t>
        </is>
      </c>
      <c r="G131" s="14" t="n">
        <v>1920</v>
      </c>
      <c r="H131" s="15" t="inlineStr">
        <is>
          <t>1000-4999</t>
        </is>
      </c>
      <c r="I131" s="15" t="inlineStr">
        <is>
          <t>480-1920</t>
        </is>
      </c>
      <c r="J131" s="14" t="n">
        <v>3</v>
      </c>
      <c r="K131" s="14" t="n">
        <v>3</v>
      </c>
      <c r="L131" s="15" t="inlineStr">
        <is>
          <t>opt+qty</t>
        </is>
      </c>
      <c r="M131" s="15" t="inlineStr">
        <is>
          <t>Gloss</t>
        </is>
      </c>
      <c r="N131" s="15" t="inlineStr">
        <is>
          <t>Print</t>
        </is>
      </c>
      <c r="O131" s="15" t="inlineStr">
        <is>
          <t>CAD/Crest</t>
        </is>
      </c>
      <c r="P131" s="15" t="inlineStr">
        <is>
          <t>200 B</t>
        </is>
      </c>
      <c r="Q131" s="15" t="inlineStr">
        <is>
          <t>No</t>
        </is>
      </c>
      <c r="R131" s="16" t="n">
        <v>13329.35</v>
      </c>
      <c r="S131" s="16" t="n">
        <v>12013.91</v>
      </c>
      <c r="T131" s="16" t="n">
        <v>1315.440000000001</v>
      </c>
      <c r="U131" s="17" t="n">
        <v>10.94930792722769</v>
      </c>
      <c r="V131" s="18" t="n">
        <v>-0.2507880380462107</v>
      </c>
      <c r="W131" s="15" t="inlineStr">
        <is>
          <t>No</t>
        </is>
      </c>
      <c r="X131" s="15" t="inlineStr"/>
    </row>
    <row r="132">
      <c r="A132" s="14" t="n">
        <v>224024</v>
      </c>
      <c r="B132" s="15" t="inlineStr">
        <is>
          <t>RW-260819-091905</t>
        </is>
      </c>
      <c r="C132" s="15" t="inlineStr">
        <is>
          <t>No</t>
        </is>
      </c>
      <c r="D132" s="15" t="inlineStr">
        <is>
          <t>BCI Knoxville Division</t>
        </is>
      </c>
      <c r="E132" s="15" t="inlineStr">
        <is>
          <t>Part 11166</t>
        </is>
      </c>
      <c r="F132" s="15" t="inlineStr">
        <is>
          <t>CAD Cut</t>
        </is>
      </c>
      <c r="G132" s="14" t="n">
        <v>150</v>
      </c>
      <c r="H132" s="15" t="inlineStr">
        <is>
          <t>50-199</t>
        </is>
      </c>
      <c r="I132" s="15" t="inlineStr">
        <is>
          <t>150</t>
        </is>
      </c>
      <c r="J132" s="14" t="n">
        <v>1</v>
      </c>
      <c r="K132" s="14" t="n">
        <v>1</v>
      </c>
      <c r="L132" s="15" t="inlineStr">
        <is>
          <t>opt+qty</t>
        </is>
      </c>
      <c r="M132" s="15" t="inlineStr">
        <is>
          <t>Satin</t>
        </is>
      </c>
      <c r="N132" s="15" t="inlineStr">
        <is>
          <t>Print</t>
        </is>
      </c>
      <c r="O132" s="15" t="inlineStr">
        <is>
          <t>CAD</t>
        </is>
      </c>
      <c r="P132" s="15" t="inlineStr">
        <is>
          <t>200 B</t>
        </is>
      </c>
      <c r="Q132" s="15" t="inlineStr">
        <is>
          <t>No</t>
        </is>
      </c>
      <c r="R132" s="16" t="n">
        <v>2474.8</v>
      </c>
      <c r="S132" s="16" t="n">
        <v>1959.82</v>
      </c>
      <c r="T132" s="16" t="n">
        <v>514.9800000000002</v>
      </c>
      <c r="U132" s="17" t="n">
        <v>26.27690298088601</v>
      </c>
      <c r="V132" s="18" t="n">
        <v>0.07821957960544106</v>
      </c>
      <c r="W132" s="15" t="inlineStr">
        <is>
          <t>No</t>
        </is>
      </c>
      <c r="X132" s="15" t="inlineStr"/>
    </row>
    <row r="133">
      <c r="A133" s="14" t="n">
        <v>224024</v>
      </c>
      <c r="B133" s="15" t="inlineStr">
        <is>
          <t>RW-260819-091905</t>
        </is>
      </c>
      <c r="C133" s="15" t="inlineStr">
        <is>
          <t>No</t>
        </is>
      </c>
      <c r="D133" s="15" t="inlineStr">
        <is>
          <t>BCI Knoxville Division</t>
        </is>
      </c>
      <c r="E133" s="15" t="inlineStr">
        <is>
          <t>Part 11166</t>
        </is>
      </c>
      <c r="F133" s="15" t="inlineStr">
        <is>
          <t>CAD Cut</t>
        </is>
      </c>
      <c r="G133" s="14" t="n">
        <v>300</v>
      </c>
      <c r="H133" s="15" t="inlineStr">
        <is>
          <t>200-999</t>
        </is>
      </c>
      <c r="I133" s="15" t="inlineStr">
        <is>
          <t>300</t>
        </is>
      </c>
      <c r="J133" s="14" t="n">
        <v>1</v>
      </c>
      <c r="K133" s="14" t="n">
        <v>1</v>
      </c>
      <c r="L133" s="15" t="inlineStr">
        <is>
          <t>opt+qty</t>
        </is>
      </c>
      <c r="M133" s="15" t="inlineStr">
        <is>
          <t>Satin</t>
        </is>
      </c>
      <c r="N133" s="15" t="inlineStr">
        <is>
          <t>Print</t>
        </is>
      </c>
      <c r="O133" s="15" t="inlineStr">
        <is>
          <t>Crest</t>
        </is>
      </c>
      <c r="P133" s="15" t="inlineStr">
        <is>
          <t>200 B</t>
        </is>
      </c>
      <c r="Q133" s="15" t="inlineStr">
        <is>
          <t>No</t>
        </is>
      </c>
      <c r="R133" s="16" t="n">
        <v>5548.43</v>
      </c>
      <c r="S133" s="16" t="n">
        <v>3705.6</v>
      </c>
      <c r="T133" s="16" t="n">
        <v>1842.83</v>
      </c>
      <c r="U133" s="17" t="n">
        <v>49.73094775474958</v>
      </c>
      <c r="V133" s="18" t="n">
        <v>0.5816618592540198</v>
      </c>
      <c r="W133" s="15" t="inlineStr">
        <is>
          <t>No</t>
        </is>
      </c>
      <c r="X133" s="15" t="inlineStr">
        <is>
          <t>iQuote data for this quote is for all CAD cut, SPOT chose crest for this one</t>
        </is>
      </c>
    </row>
    <row r="134">
      <c r="A134" s="14" t="n">
        <v>224024</v>
      </c>
      <c r="B134" s="15" t="inlineStr">
        <is>
          <t>RW-260819-091905</t>
        </is>
      </c>
      <c r="C134" s="15" t="inlineStr">
        <is>
          <t>No</t>
        </is>
      </c>
      <c r="D134" s="15" t="inlineStr">
        <is>
          <t>BCI Knoxville Division</t>
        </is>
      </c>
      <c r="E134" s="15" t="inlineStr">
        <is>
          <t>Part 11166</t>
        </is>
      </c>
      <c r="F134" s="15" t="inlineStr">
        <is>
          <t>CAD Cut</t>
        </is>
      </c>
      <c r="G134" s="14" t="n">
        <v>500</v>
      </c>
      <c r="H134" s="15" t="inlineStr">
        <is>
          <t>200-999</t>
        </is>
      </c>
      <c r="I134" s="15" t="inlineStr">
        <is>
          <t>500</t>
        </is>
      </c>
      <c r="J134" s="14" t="n">
        <v>1</v>
      </c>
      <c r="K134" s="14" t="n">
        <v>1</v>
      </c>
      <c r="L134" s="15" t="inlineStr">
        <is>
          <t>opt+qty</t>
        </is>
      </c>
      <c r="M134" s="15" t="inlineStr">
        <is>
          <t>Satin</t>
        </is>
      </c>
      <c r="N134" s="15" t="inlineStr">
        <is>
          <t>Print</t>
        </is>
      </c>
      <c r="O134" s="15" t="inlineStr">
        <is>
          <t>Crest</t>
        </is>
      </c>
      <c r="P134" s="15" t="inlineStr">
        <is>
          <t>200 B</t>
        </is>
      </c>
      <c r="Q134" s="15" t="inlineStr">
        <is>
          <t>No</t>
        </is>
      </c>
      <c r="R134" s="16" t="n">
        <v>7774.56</v>
      </c>
      <c r="S134" s="16" t="n">
        <v>5920.7</v>
      </c>
      <c r="T134" s="16" t="n">
        <v>1853.860000000001</v>
      </c>
      <c r="U134" s="17" t="n">
        <v>31.31150032935296</v>
      </c>
      <c r="V134" s="18" t="n">
        <v>0.1862874711210827</v>
      </c>
      <c r="W134" s="15" t="inlineStr">
        <is>
          <t>No</t>
        </is>
      </c>
      <c r="X134" s="15" t="inlineStr">
        <is>
          <t>iQuote data for this quote is for all CAD cut, SPOT chose crest for this one</t>
        </is>
      </c>
    </row>
    <row r="135">
      <c r="A135" s="14" t="n">
        <v>224032</v>
      </c>
      <c r="B135" s="15" t="inlineStr">
        <is>
          <t>RW-260819-085031</t>
        </is>
      </c>
      <c r="C135" s="15" t="inlineStr">
        <is>
          <t>No</t>
        </is>
      </c>
      <c r="D135" s="15" t="inlineStr">
        <is>
          <t>BCI Knoxville Division</t>
        </is>
      </c>
      <c r="E135" s="15" t="inlineStr">
        <is>
          <t>Part 11378-11379-11380</t>
        </is>
      </c>
      <c r="F135" s="15" t="inlineStr">
        <is>
          <t>Option 1</t>
        </is>
      </c>
      <c r="G135" s="14" t="n">
        <v>150</v>
      </c>
      <c r="H135" s="15" t="inlineStr">
        <is>
          <t>50-199</t>
        </is>
      </c>
      <c r="I135" s="15" t="inlineStr">
        <is>
          <t>150</t>
        </is>
      </c>
      <c r="J135" s="14" t="n">
        <v>3</v>
      </c>
      <c r="K135" s="14" t="n">
        <v>3</v>
      </c>
      <c r="L135" s="15" t="inlineStr">
        <is>
          <t>opt+qty</t>
        </is>
      </c>
      <c r="M135" s="15" t="inlineStr">
        <is>
          <t>Satin</t>
        </is>
      </c>
      <c r="N135" s="15" t="inlineStr">
        <is>
          <t>Print</t>
        </is>
      </c>
      <c r="O135" s="15" t="inlineStr">
        <is>
          <t>CAD</t>
        </is>
      </c>
      <c r="P135" s="15" t="inlineStr">
        <is>
          <t>200 B</t>
        </is>
      </c>
      <c r="Q135" s="15" t="inlineStr">
        <is>
          <t>No</t>
        </is>
      </c>
      <c r="R135" s="16" t="n">
        <v>6429.9</v>
      </c>
      <c r="S135" s="16" t="n">
        <v>8205.84</v>
      </c>
      <c r="T135" s="16" t="n">
        <v>-1775.940000000001</v>
      </c>
      <c r="U135" s="17" t="n">
        <v>-21.64239127255711</v>
      </c>
      <c r="V135" s="18" t="n">
        <v>-0.9503705408068865</v>
      </c>
      <c r="W135" s="15" t="inlineStr">
        <is>
          <t>No</t>
        </is>
      </c>
      <c r="X135" s="15" t="inlineStr"/>
    </row>
    <row r="136">
      <c r="A136" s="14" t="n">
        <v>224032</v>
      </c>
      <c r="B136" s="15" t="inlineStr">
        <is>
          <t>RW-260819-085031</t>
        </is>
      </c>
      <c r="C136" s="15" t="inlineStr">
        <is>
          <t>No</t>
        </is>
      </c>
      <c r="D136" s="15" t="inlineStr">
        <is>
          <t>BCI Knoxville Division</t>
        </is>
      </c>
      <c r="E136" s="15" t="inlineStr">
        <is>
          <t>Part 11378-11379-11380</t>
        </is>
      </c>
      <c r="F136" s="15" t="inlineStr">
        <is>
          <t>Option 1</t>
        </is>
      </c>
      <c r="G136" s="14" t="n">
        <v>300</v>
      </c>
      <c r="H136" s="15" t="inlineStr">
        <is>
          <t>200-999</t>
        </is>
      </c>
      <c r="I136" s="15" t="inlineStr">
        <is>
          <t>300</t>
        </is>
      </c>
      <c r="J136" s="14" t="n">
        <v>3</v>
      </c>
      <c r="K136" s="14" t="n">
        <v>3</v>
      </c>
      <c r="L136" s="15" t="inlineStr">
        <is>
          <t>opt+qty</t>
        </is>
      </c>
      <c r="M136" s="15" t="inlineStr">
        <is>
          <t>Satin</t>
        </is>
      </c>
      <c r="N136" s="15" t="inlineStr">
        <is>
          <t>Print</t>
        </is>
      </c>
      <c r="O136" s="15" t="inlineStr">
        <is>
          <t>CAD/Crest</t>
        </is>
      </c>
      <c r="P136" s="15" t="inlineStr">
        <is>
          <t>200 B</t>
        </is>
      </c>
      <c r="Q136" s="15" t="inlineStr">
        <is>
          <t>No</t>
        </is>
      </c>
      <c r="R136" s="16" t="n">
        <v>12444.53</v>
      </c>
      <c r="S136" s="16" t="n">
        <v>11513.82</v>
      </c>
      <c r="T136" s="16" t="n">
        <v>930.7100000000009</v>
      </c>
      <c r="U136" s="17" t="n">
        <v>8.083416277134789</v>
      </c>
      <c r="V136" s="18" t="n">
        <v>-0.3123045499937115</v>
      </c>
      <c r="W136" s="15" t="inlineStr">
        <is>
          <t>No</t>
        </is>
      </c>
      <c r="X136" s="15" t="inlineStr"/>
    </row>
    <row r="137">
      <c r="A137" s="14" t="n">
        <v>224032</v>
      </c>
      <c r="B137" s="15" t="inlineStr">
        <is>
          <t>RW-260819-085031</t>
        </is>
      </c>
      <c r="C137" s="15" t="inlineStr">
        <is>
          <t>No</t>
        </is>
      </c>
      <c r="D137" s="15" t="inlineStr">
        <is>
          <t>BCI Knoxville Division</t>
        </is>
      </c>
      <c r="E137" s="15" t="inlineStr">
        <is>
          <t>Part 11378-11379-11380</t>
        </is>
      </c>
      <c r="F137" s="15" t="inlineStr">
        <is>
          <t>Option 1</t>
        </is>
      </c>
      <c r="G137" s="14" t="n">
        <v>500</v>
      </c>
      <c r="H137" s="15" t="inlineStr">
        <is>
          <t>200-999</t>
        </is>
      </c>
      <c r="I137" s="15" t="inlineStr">
        <is>
          <t>500</t>
        </is>
      </c>
      <c r="J137" s="14" t="n">
        <v>3</v>
      </c>
      <c r="K137" s="14" t="n">
        <v>3</v>
      </c>
      <c r="L137" s="15" t="inlineStr">
        <is>
          <t>opt+qty</t>
        </is>
      </c>
      <c r="M137" s="15" t="inlineStr">
        <is>
          <t>Satin</t>
        </is>
      </c>
      <c r="N137" s="15" t="inlineStr">
        <is>
          <t>Print</t>
        </is>
      </c>
      <c r="O137" s="15" t="inlineStr">
        <is>
          <t>CAD/Crest</t>
        </is>
      </c>
      <c r="P137" s="15" t="inlineStr">
        <is>
          <t>200 B</t>
        </is>
      </c>
      <c r="Q137" s="15" t="inlineStr">
        <is>
          <t>No</t>
        </is>
      </c>
      <c r="R137" s="16" t="n">
        <v>17483.78</v>
      </c>
      <c r="S137" s="16" t="n">
        <v>16455.05</v>
      </c>
      <c r="T137" s="16" t="n">
        <v>1028.73</v>
      </c>
      <c r="U137" s="17" t="n">
        <v>6.251758578673414</v>
      </c>
      <c r="V137" s="18" t="n">
        <v>-0.3516211768757775</v>
      </c>
      <c r="W137" s="15" t="inlineStr">
        <is>
          <t>No</t>
        </is>
      </c>
      <c r="X137" s="15" t="inlineStr"/>
    </row>
    <row r="138">
      <c r="A138" s="14" t="n">
        <v>224044</v>
      </c>
      <c r="B138" s="15" t="inlineStr">
        <is>
          <t>RW-260819-090831</t>
        </is>
      </c>
      <c r="C138" s="15" t="inlineStr">
        <is>
          <t>No</t>
        </is>
      </c>
      <c r="D138" s="15" t="inlineStr">
        <is>
          <t>PCA- New Oxford</t>
        </is>
      </c>
      <c r="E138" s="15" t="inlineStr">
        <is>
          <t>SuperGut PDQ</t>
        </is>
      </c>
      <c r="F138" s="15" t="inlineStr">
        <is>
          <t>CAD Cut</t>
        </is>
      </c>
      <c r="G138" s="14" t="n">
        <v>50</v>
      </c>
      <c r="H138" s="15" t="inlineStr">
        <is>
          <t>50-199</t>
        </is>
      </c>
      <c r="I138" s="15" t="inlineStr">
        <is>
          <t>50</t>
        </is>
      </c>
      <c r="J138" s="14" t="n">
        <v>3</v>
      </c>
      <c r="K138" s="14" t="n">
        <v>3</v>
      </c>
      <c r="L138" s="15" t="inlineStr">
        <is>
          <t>opt+qty</t>
        </is>
      </c>
      <c r="M138" s="15" t="inlineStr">
        <is>
          <t>Gloss</t>
        </is>
      </c>
      <c r="N138" s="15" t="inlineStr">
        <is>
          <t>Print</t>
        </is>
      </c>
      <c r="O138" s="15" t="inlineStr">
        <is>
          <t>CAD</t>
        </is>
      </c>
      <c r="P138" s="15" t="inlineStr">
        <is>
          <t>200 B</t>
        </is>
      </c>
      <c r="Q138" s="15" t="inlineStr">
        <is>
          <t>No</t>
        </is>
      </c>
      <c r="R138" s="16" t="n">
        <v>2657.79</v>
      </c>
      <c r="S138" s="16" t="n">
        <v>2373.65</v>
      </c>
      <c r="T138" s="16" t="n">
        <v>284.1399999999999</v>
      </c>
      <c r="U138" s="17" t="n">
        <v>11.970593811219</v>
      </c>
      <c r="V138" s="18" t="n">
        <v>-0.2288660839198819</v>
      </c>
      <c r="W138" s="15" t="inlineStr">
        <is>
          <t>No</t>
        </is>
      </c>
      <c r="X138" s="15" t="inlineStr"/>
    </row>
    <row r="139">
      <c r="A139" s="14" t="n">
        <v>224044</v>
      </c>
      <c r="B139" s="15" t="inlineStr">
        <is>
          <t>RW-260819-090831</t>
        </is>
      </c>
      <c r="C139" s="15" t="inlineStr">
        <is>
          <t>No</t>
        </is>
      </c>
      <c r="D139" s="15" t="inlineStr">
        <is>
          <t>PCA- New Oxford</t>
        </is>
      </c>
      <c r="E139" s="15" t="inlineStr">
        <is>
          <t>SuperGut PDQ</t>
        </is>
      </c>
      <c r="F139" s="15" t="inlineStr">
        <is>
          <t>CAD Cut</t>
        </is>
      </c>
      <c r="G139" s="14" t="n">
        <v>110</v>
      </c>
      <c r="H139" s="15" t="inlineStr">
        <is>
          <t>50-199</t>
        </is>
      </c>
      <c r="I139" s="15" t="inlineStr">
        <is>
          <t>110</t>
        </is>
      </c>
      <c r="J139" s="14" t="n">
        <v>3</v>
      </c>
      <c r="K139" s="14" t="n">
        <v>3</v>
      </c>
      <c r="L139" s="15" t="inlineStr">
        <is>
          <t>opt+qty</t>
        </is>
      </c>
      <c r="M139" s="15" t="inlineStr">
        <is>
          <t>Gloss</t>
        </is>
      </c>
      <c r="N139" s="15" t="inlineStr">
        <is>
          <t>Print</t>
        </is>
      </c>
      <c r="O139" s="15" t="inlineStr">
        <is>
          <t>CAD</t>
        </is>
      </c>
      <c r="P139" s="15" t="inlineStr">
        <is>
          <t>200 B</t>
        </is>
      </c>
      <c r="Q139" s="15" t="inlineStr">
        <is>
          <t>No</t>
        </is>
      </c>
      <c r="R139" s="16" t="n">
        <v>4209.2</v>
      </c>
      <c r="S139" s="16" t="n">
        <v>4288.52</v>
      </c>
      <c r="T139" s="16" t="n">
        <v>-79.31999999999971</v>
      </c>
      <c r="U139" s="17" t="n">
        <v>-1.849589135645857</v>
      </c>
      <c r="V139" s="18" t="n">
        <v>-0.5255170230228657</v>
      </c>
      <c r="W139" s="15" t="inlineStr">
        <is>
          <t>No</t>
        </is>
      </c>
      <c r="X139" s="15" t="inlineStr"/>
    </row>
    <row r="140">
      <c r="A140" s="14" t="n">
        <v>224218</v>
      </c>
      <c r="B140" s="15" t="inlineStr">
        <is>
          <t>CS-260818-112454</t>
        </is>
      </c>
      <c r="C140" s="15" t="inlineStr">
        <is>
          <t>No</t>
        </is>
      </c>
      <c r="D140" s="15" t="inlineStr">
        <is>
          <t>Skybox Packaging, LLC</t>
        </is>
      </c>
      <c r="E140" s="15" t="inlineStr">
        <is>
          <t>F104954</t>
        </is>
      </c>
      <c r="F140" s="15" t="inlineStr">
        <is>
          <t>Option 1</t>
        </is>
      </c>
      <c r="G140" s="14" t="n">
        <v>500</v>
      </c>
      <c r="H140" s="15" t="inlineStr">
        <is>
          <t>200-999</t>
        </is>
      </c>
      <c r="I140" s="15" t="inlineStr">
        <is>
          <t>500</t>
        </is>
      </c>
      <c r="J140" s="14" t="n">
        <v>1</v>
      </c>
      <c r="K140" s="14" t="n">
        <v>1</v>
      </c>
      <c r="L140" s="15" t="inlineStr">
        <is>
          <t>opt+qty</t>
        </is>
      </c>
      <c r="M140" s="15" t="inlineStr">
        <is>
          <t>Satin</t>
        </is>
      </c>
      <c r="N140" s="15" t="inlineStr">
        <is>
          <t>Print</t>
        </is>
      </c>
      <c r="O140" s="15" t="inlineStr">
        <is>
          <t>CAD</t>
        </is>
      </c>
      <c r="P140" s="15" t="inlineStr">
        <is>
          <t>200 C</t>
        </is>
      </c>
      <c r="Q140" s="15" t="inlineStr">
        <is>
          <t>No</t>
        </is>
      </c>
      <c r="R140" s="16" t="n">
        <v>3012.49</v>
      </c>
      <c r="S140" s="16" t="n">
        <v>2290.18</v>
      </c>
      <c r="T140" s="16" t="n">
        <v>722.3099999999999</v>
      </c>
      <c r="U140" s="17" t="n">
        <v>31.53944231457789</v>
      </c>
      <c r="V140" s="18" t="n">
        <v>0.1911802575796957</v>
      </c>
      <c r="W140" s="15" t="inlineStr">
        <is>
          <t>No</t>
        </is>
      </c>
      <c r="X140" s="15" t="inlineStr"/>
    </row>
    <row r="141">
      <c r="A141" s="14" t="n">
        <v>224227</v>
      </c>
      <c r="B141" s="15" t="inlineStr">
        <is>
          <t>CS-260826-155317</t>
        </is>
      </c>
      <c r="C141" s="15" t="inlineStr">
        <is>
          <t>No</t>
        </is>
      </c>
      <c r="D141" s="15" t="inlineStr">
        <is>
          <t>PCA- New Oxford</t>
        </is>
      </c>
      <c r="E141" s="15" t="inlineStr">
        <is>
          <t>Crayola Meijer 48ft POG - Inline HDR Front 12 Versions</t>
        </is>
      </c>
      <c r="F141" s="15" t="inlineStr">
        <is>
          <t>Option 2</t>
        </is>
      </c>
      <c r="G141" s="14" t="n">
        <v>1</v>
      </c>
      <c r="H141" s="15" t="inlineStr">
        <is>
          <t>1-49</t>
        </is>
      </c>
      <c r="I141" s="15" t="inlineStr">
        <is>
          <t>1</t>
        </is>
      </c>
      <c r="J141" s="14" t="n">
        <v>12</v>
      </c>
      <c r="K141" s="14" t="n">
        <v>12</v>
      </c>
      <c r="L141" s="15" t="inlineStr">
        <is>
          <t>opt+qty</t>
        </is>
      </c>
      <c r="M141" s="15" t="inlineStr">
        <is>
          <t>Gloss</t>
        </is>
      </c>
      <c r="N141" s="15" t="inlineStr">
        <is>
          <t>Print</t>
        </is>
      </c>
      <c r="O141" s="15" t="inlineStr">
        <is>
          <t>CAD</t>
        </is>
      </c>
      <c r="P141" s="15" t="inlineStr">
        <is>
          <t>200 E</t>
        </is>
      </c>
      <c r="Q141" s="15" t="inlineStr">
        <is>
          <t>No</t>
        </is>
      </c>
      <c r="R141" s="16" t="n">
        <v>4557.41</v>
      </c>
      <c r="S141" s="16" t="n">
        <v>3471.48</v>
      </c>
      <c r="T141" s="16" t="n">
        <v>1085.929999999999</v>
      </c>
      <c r="U141" s="17" t="n">
        <v>31.28147072718262</v>
      </c>
      <c r="V141" s="18" t="n">
        <v>0.1856428841630829</v>
      </c>
      <c r="W141" s="15" t="inlineStr">
        <is>
          <t>No</t>
        </is>
      </c>
      <c r="X141" s="15" t="inlineStr"/>
    </row>
    <row r="142">
      <c r="A142" s="14" t="n">
        <v>224257</v>
      </c>
      <c r="B142" s="15" t="inlineStr">
        <is>
          <t>CD-260818-152740</t>
        </is>
      </c>
      <c r="C142" s="15" t="inlineStr">
        <is>
          <t>No</t>
        </is>
      </c>
      <c r="D142" s="15" t="inlineStr">
        <is>
          <t>Tavens</t>
        </is>
      </c>
      <c r="E142" s="15" t="inlineStr">
        <is>
          <t>Digital PW Display</t>
        </is>
      </c>
      <c r="F142" s="15" t="inlineStr">
        <is>
          <t>Option 1</t>
        </is>
      </c>
      <c r="G142" s="14" t="n">
        <v>100</v>
      </c>
      <c r="H142" s="15" t="inlineStr">
        <is>
          <t>50-199</t>
        </is>
      </c>
      <c r="I142" s="15" t="inlineStr">
        <is>
          <t>100</t>
        </is>
      </c>
      <c r="J142" s="14" t="n">
        <v>3</v>
      </c>
      <c r="K142" s="14" t="n">
        <v>3</v>
      </c>
      <c r="L142" s="15" t="inlineStr">
        <is>
          <t>opt+qty</t>
        </is>
      </c>
      <c r="M142" s="15" t="inlineStr">
        <is>
          <t>Satin</t>
        </is>
      </c>
      <c r="N142" s="15" t="inlineStr">
        <is>
          <t>Print</t>
        </is>
      </c>
      <c r="O142" s="15" t="inlineStr">
        <is>
          <t>CAD/Crest</t>
        </is>
      </c>
      <c r="P142" s="15" t="inlineStr">
        <is>
          <t>200 B</t>
        </is>
      </c>
      <c r="Q142" s="15" t="inlineStr">
        <is>
          <t>No</t>
        </is>
      </c>
      <c r="R142" s="16" t="n">
        <v>7635.75</v>
      </c>
      <c r="S142" s="16" t="n">
        <v>7019.42</v>
      </c>
      <c r="T142" s="16" t="n">
        <v>616.3299999999999</v>
      </c>
      <c r="U142" s="17" t="n">
        <v>8.78035507207148</v>
      </c>
      <c r="V142" s="18" t="n">
        <v>-0.2973447228474166</v>
      </c>
      <c r="W142" s="15" t="inlineStr">
        <is>
          <t>Yes</t>
        </is>
      </c>
      <c r="X142" s="15" t="inlineStr"/>
    </row>
    <row r="143">
      <c r="A143" s="14" t="n">
        <v>224271</v>
      </c>
      <c r="B143" s="15" t="inlineStr">
        <is>
          <t>FD-260827-065038</t>
        </is>
      </c>
      <c r="C143" s="15" t="inlineStr">
        <is>
          <t>No</t>
        </is>
      </c>
      <c r="D143" s="15" t="inlineStr">
        <is>
          <t>PCA - Ashland</t>
        </is>
      </c>
      <c r="E143" s="15" t="n"/>
      <c r="F143" s="15" t="inlineStr">
        <is>
          <t>DieCut</t>
        </is>
      </c>
      <c r="G143" s="14" t="n">
        <v>300</v>
      </c>
      <c r="H143" s="15" t="inlineStr">
        <is>
          <t>200-999</t>
        </is>
      </c>
      <c r="I143" s="15" t="inlineStr">
        <is>
          <t>300</t>
        </is>
      </c>
      <c r="J143" s="14" t="n">
        <v>2</v>
      </c>
      <c r="K143" s="14" t="n">
        <v>2</v>
      </c>
      <c r="L143" s="15" t="inlineStr">
        <is>
          <t>opt+qty</t>
        </is>
      </c>
      <c r="M143" s="15" t="inlineStr">
        <is>
          <t>Satin</t>
        </is>
      </c>
      <c r="N143" s="15" t="inlineStr">
        <is>
          <t>Print</t>
        </is>
      </c>
      <c r="O143" s="15" t="inlineStr">
        <is>
          <t>Crest/Saber + D/C</t>
        </is>
      </c>
      <c r="P143" s="15" t="inlineStr">
        <is>
          <t>ECT 51 B/C</t>
        </is>
      </c>
      <c r="Q143" s="15" t="inlineStr">
        <is>
          <t>Yes</t>
        </is>
      </c>
      <c r="R143" s="16" t="n">
        <v>14526.25</v>
      </c>
      <c r="S143" s="16" t="n">
        <v>7409.45</v>
      </c>
      <c r="T143" s="16" t="n">
        <v>7116.8</v>
      </c>
      <c r="U143" s="17" t="n">
        <v>96.05031412587979</v>
      </c>
      <c r="V143" s="18" t="n">
        <v>1.575909445228853</v>
      </c>
      <c r="W143" s="15" t="inlineStr">
        <is>
          <t>No</t>
        </is>
      </c>
      <c r="X143" s="15" t="inlineStr">
        <is>
          <t>ECT 51 B/C triggered buy Min; using 300 purchasing 93 | ECT 51 B/C triggered buy Min; using 300 purchasing 1781</t>
        </is>
      </c>
    </row>
    <row r="144">
      <c r="A144" s="14" t="n">
        <v>224286</v>
      </c>
      <c r="B144" s="15" t="inlineStr">
        <is>
          <t>FD-260820-144547</t>
        </is>
      </c>
      <c r="C144" s="15" t="inlineStr">
        <is>
          <t>No</t>
        </is>
      </c>
      <c r="D144" s="15" t="inlineStr">
        <is>
          <t>PCA Ashland</t>
        </is>
      </c>
      <c r="E144" s="15" t="n"/>
      <c r="F144" s="15" t="inlineStr">
        <is>
          <t>Option 1</t>
        </is>
      </c>
      <c r="G144" s="14" t="n">
        <v>150</v>
      </c>
      <c r="H144" s="15" t="inlineStr">
        <is>
          <t>50-199</t>
        </is>
      </c>
      <c r="I144" s="15" t="inlineStr">
        <is>
          <t>150</t>
        </is>
      </c>
      <c r="J144" s="14" t="n">
        <v>1</v>
      </c>
      <c r="K144" s="14" t="n">
        <v>1</v>
      </c>
      <c r="L144" s="15" t="inlineStr">
        <is>
          <t>opt+qty</t>
        </is>
      </c>
      <c r="M144" s="15" t="inlineStr">
        <is>
          <t>Satin</t>
        </is>
      </c>
      <c r="N144" s="15" t="inlineStr">
        <is>
          <t>Print</t>
        </is>
      </c>
      <c r="O144" s="15" t="inlineStr">
        <is>
          <t>CAD</t>
        </is>
      </c>
      <c r="P144" s="15" t="inlineStr">
        <is>
          <t>ECT 44 C</t>
        </is>
      </c>
      <c r="Q144" s="15" t="inlineStr">
        <is>
          <t>No</t>
        </is>
      </c>
      <c r="R144" s="16" t="n">
        <v>2961.18</v>
      </c>
      <c r="S144" s="16" t="n">
        <v>2564.11</v>
      </c>
      <c r="T144" s="16" t="n">
        <v>397.0699999999997</v>
      </c>
      <c r="U144" s="17" t="n">
        <v>15.48568509151322</v>
      </c>
      <c r="V144" s="18" t="n">
        <v>-0.153414468457111</v>
      </c>
      <c r="W144" s="15" t="inlineStr">
        <is>
          <t>No</t>
        </is>
      </c>
      <c r="X144" s="15" t="inlineStr"/>
    </row>
    <row r="145">
      <c r="A145" s="14" t="n">
        <v>224297</v>
      </c>
      <c r="B145" s="15" t="inlineStr">
        <is>
          <t>CD-260820-151955</t>
        </is>
      </c>
      <c r="C145" s="15" t="inlineStr">
        <is>
          <t>No</t>
        </is>
      </c>
      <c r="D145" s="15" t="inlineStr">
        <is>
          <t>Packaging Corporation</t>
        </is>
      </c>
      <c r="E145" s="15" t="inlineStr">
        <is>
          <t>Pallet Bands 48x40</t>
        </is>
      </c>
      <c r="F145" s="15" t="inlineStr">
        <is>
          <t>Option 1</t>
        </is>
      </c>
      <c r="G145" s="14" t="n">
        <v>2000</v>
      </c>
      <c r="H145" s="15" t="inlineStr">
        <is>
          <t>1000-4999</t>
        </is>
      </c>
      <c r="I145" s="15" t="inlineStr">
        <is>
          <t>2000</t>
        </is>
      </c>
      <c r="J145" s="14" t="n">
        <v>1</v>
      </c>
      <c r="K145" s="14" t="n">
        <v>1</v>
      </c>
      <c r="L145" s="15" t="inlineStr">
        <is>
          <t>qty-only</t>
        </is>
      </c>
      <c r="M145" s="15" t="inlineStr">
        <is>
          <t>Satin</t>
        </is>
      </c>
      <c r="N145" s="15" t="inlineStr">
        <is>
          <t>Print</t>
        </is>
      </c>
      <c r="O145" s="15" t="inlineStr">
        <is>
          <t>Crest</t>
        </is>
      </c>
      <c r="P145" s="15" t="inlineStr">
        <is>
          <t>ECT 44 B</t>
        </is>
      </c>
      <c r="Q145" s="15" t="inlineStr">
        <is>
          <t>No</t>
        </is>
      </c>
      <c r="R145" s="16" t="n">
        <v>10245.04</v>
      </c>
      <c r="S145" s="16" t="n">
        <v>12788.71</v>
      </c>
      <c r="T145" s="16" t="n">
        <v>-2543.669999999998</v>
      </c>
      <c r="U145" s="17" t="n">
        <v>-19.88996544608485</v>
      </c>
      <c r="V145" s="18" t="n">
        <v>-0.9127546301398538</v>
      </c>
      <c r="W145" s="15" t="inlineStr">
        <is>
          <t>Yes</t>
        </is>
      </c>
      <c r="X145" s="15" t="inlineStr">
        <is>
          <t>estimator input their own freight/did override.</t>
        </is>
      </c>
    </row>
    <row r="146">
      <c r="A146" s="14" t="n">
        <v>224297</v>
      </c>
      <c r="B146" s="15" t="inlineStr">
        <is>
          <t>CD-260820-151955</t>
        </is>
      </c>
      <c r="C146" s="15" t="inlineStr">
        <is>
          <t>No</t>
        </is>
      </c>
      <c r="D146" s="15" t="inlineStr">
        <is>
          <t>Packaging Corporation</t>
        </is>
      </c>
      <c r="E146" s="15" t="inlineStr">
        <is>
          <t>Pallet Bands 48x40</t>
        </is>
      </c>
      <c r="F146" s="15" t="inlineStr">
        <is>
          <t>Option 1</t>
        </is>
      </c>
      <c r="G146" s="14" t="n">
        <v>4000</v>
      </c>
      <c r="H146" s="15" t="inlineStr">
        <is>
          <t>1000-4999</t>
        </is>
      </c>
      <c r="I146" s="15" t="inlineStr">
        <is>
          <t>4000</t>
        </is>
      </c>
      <c r="J146" s="14" t="n">
        <v>1</v>
      </c>
      <c r="K146" s="14" t="n">
        <v>1</v>
      </c>
      <c r="L146" s="15" t="inlineStr">
        <is>
          <t>qty-only</t>
        </is>
      </c>
      <c r="M146" s="15" t="inlineStr">
        <is>
          <t>Satin</t>
        </is>
      </c>
      <c r="N146" s="15" t="inlineStr">
        <is>
          <t>Print</t>
        </is>
      </c>
      <c r="O146" s="15" t="inlineStr">
        <is>
          <t>Crest</t>
        </is>
      </c>
      <c r="P146" s="15" t="inlineStr">
        <is>
          <t>ECT 44 B</t>
        </is>
      </c>
      <c r="Q146" s="15" t="inlineStr">
        <is>
          <t>No</t>
        </is>
      </c>
      <c r="R146" s="16" t="n">
        <v>17240.43</v>
      </c>
      <c r="S146" s="16" t="n">
        <v>23187.31</v>
      </c>
      <c r="T146" s="16" t="n">
        <v>-5946.880000000001</v>
      </c>
      <c r="U146" s="17" t="n">
        <v>-25.64713198728098</v>
      </c>
      <c r="V146" s="18" t="n">
        <v>-1.03633250661113</v>
      </c>
      <c r="W146" s="15" t="inlineStr">
        <is>
          <t>Yes</t>
        </is>
      </c>
      <c r="X146" s="15" t="inlineStr">
        <is>
          <t>estimator input their own freight/did override.  Material was not a stocked length - triggered "Order"</t>
        </is>
      </c>
    </row>
    <row r="147">
      <c r="A147" s="14" t="n">
        <v>224297</v>
      </c>
      <c r="B147" s="15" t="inlineStr">
        <is>
          <t>CD-260820-151955</t>
        </is>
      </c>
      <c r="C147" s="15" t="inlineStr">
        <is>
          <t>No</t>
        </is>
      </c>
      <c r="D147" s="15" t="inlineStr">
        <is>
          <t>Packaging Corporation</t>
        </is>
      </c>
      <c r="E147" s="15" t="inlineStr">
        <is>
          <t>Pallet Bands 48x40</t>
        </is>
      </c>
      <c r="F147" s="15" t="inlineStr">
        <is>
          <t>Option 1</t>
        </is>
      </c>
      <c r="G147" s="14" t="n">
        <v>6000</v>
      </c>
      <c r="H147" s="15" t="inlineStr">
        <is>
          <t>5000+</t>
        </is>
      </c>
      <c r="I147" s="15" t="inlineStr">
        <is>
          <t>6000</t>
        </is>
      </c>
      <c r="J147" s="14" t="n">
        <v>1</v>
      </c>
      <c r="K147" s="14" t="n">
        <v>1</v>
      </c>
      <c r="L147" s="15" t="inlineStr">
        <is>
          <t>qty-only</t>
        </is>
      </c>
      <c r="M147" s="15" t="inlineStr">
        <is>
          <t>Satin</t>
        </is>
      </c>
      <c r="N147" s="15" t="inlineStr">
        <is>
          <t>Print</t>
        </is>
      </c>
      <c r="O147" s="15" t="inlineStr">
        <is>
          <t>Crest</t>
        </is>
      </c>
      <c r="P147" s="15" t="inlineStr">
        <is>
          <t>ECT 44 B</t>
        </is>
      </c>
      <c r="Q147" s="15" t="inlineStr">
        <is>
          <t>No</t>
        </is>
      </c>
      <c r="R147" s="16" t="n">
        <v>24954.19</v>
      </c>
      <c r="S147" s="16" t="n">
        <v>34360.47</v>
      </c>
      <c r="T147" s="16" t="n">
        <v>-9406.280000000002</v>
      </c>
      <c r="U147" s="17" t="n">
        <v>-27.37529492466198</v>
      </c>
      <c r="V147" s="18" t="n">
        <v>-1.073427613113562</v>
      </c>
      <c r="W147" s="15" t="inlineStr">
        <is>
          <t>Yes</t>
        </is>
      </c>
      <c r="X147" s="15" t="inlineStr">
        <is>
          <t>estimator input their own freight/did override.  Material was not a stocked length - triggered "Order"</t>
        </is>
      </c>
    </row>
    <row r="148">
      <c r="A148" s="14" t="n">
        <v>224297</v>
      </c>
      <c r="B148" s="15" t="inlineStr">
        <is>
          <t>CD-260820-151955</t>
        </is>
      </c>
      <c r="C148" s="15" t="inlineStr">
        <is>
          <t>No</t>
        </is>
      </c>
      <c r="D148" s="15" t="inlineStr">
        <is>
          <t>Packaging Corporation</t>
        </is>
      </c>
      <c r="E148" s="15" t="inlineStr">
        <is>
          <t>Pallet Bands 48x40</t>
        </is>
      </c>
      <c r="F148" s="15" t="inlineStr">
        <is>
          <t>Option 1</t>
        </is>
      </c>
      <c r="G148" s="14" t="n">
        <v>8000</v>
      </c>
      <c r="H148" s="15" t="inlineStr">
        <is>
          <t>5000+</t>
        </is>
      </c>
      <c r="I148" s="15" t="inlineStr">
        <is>
          <t>8000</t>
        </is>
      </c>
      <c r="J148" s="14" t="n">
        <v>1</v>
      </c>
      <c r="K148" s="14" t="n">
        <v>1</v>
      </c>
      <c r="L148" s="15" t="inlineStr">
        <is>
          <t>qty-only</t>
        </is>
      </c>
      <c r="M148" s="15" t="inlineStr">
        <is>
          <t>Satin</t>
        </is>
      </c>
      <c r="N148" s="15" t="inlineStr">
        <is>
          <t>Print</t>
        </is>
      </c>
      <c r="O148" s="15" t="inlineStr">
        <is>
          <t>Crest</t>
        </is>
      </c>
      <c r="P148" s="15" t="inlineStr">
        <is>
          <t>ECT 44 B</t>
        </is>
      </c>
      <c r="Q148" s="15" t="inlineStr">
        <is>
          <t>No</t>
        </is>
      </c>
      <c r="R148" s="16" t="n">
        <v>32562.43</v>
      </c>
      <c r="S148" s="16" t="n">
        <v>44382.09</v>
      </c>
      <c r="T148" s="16" t="n">
        <v>-11819.66</v>
      </c>
      <c r="U148" s="17" t="n">
        <v>-26.63159846685904</v>
      </c>
      <c r="V148" s="18" t="n">
        <v>-1.057464130324439</v>
      </c>
      <c r="W148" s="15" t="inlineStr">
        <is>
          <t>Yes</t>
        </is>
      </c>
      <c r="X148" s="15" t="inlineStr">
        <is>
          <t>estimator input their own freight/did override.  Material was not a stocked length - triggered "Order"</t>
        </is>
      </c>
    </row>
    <row r="149">
      <c r="A149" s="14" t="n">
        <v>224297</v>
      </c>
      <c r="B149" s="15" t="inlineStr">
        <is>
          <t>CD-260820-151955</t>
        </is>
      </c>
      <c r="C149" s="15" t="inlineStr">
        <is>
          <t>No</t>
        </is>
      </c>
      <c r="D149" s="15" t="inlineStr">
        <is>
          <t>Packaging Corporation</t>
        </is>
      </c>
      <c r="E149" s="15" t="inlineStr">
        <is>
          <t>Pallet Bands 48x40</t>
        </is>
      </c>
      <c r="F149" s="15" t="inlineStr">
        <is>
          <t>Option 1</t>
        </is>
      </c>
      <c r="G149" s="14" t="n">
        <v>10000</v>
      </c>
      <c r="H149" s="15" t="inlineStr">
        <is>
          <t>5000+</t>
        </is>
      </c>
      <c r="I149" s="15" t="inlineStr">
        <is>
          <t>10000</t>
        </is>
      </c>
      <c r="J149" s="14" t="n">
        <v>1</v>
      </c>
      <c r="K149" s="14" t="n">
        <v>1</v>
      </c>
      <c r="L149" s="15" t="inlineStr">
        <is>
          <t>qty-only</t>
        </is>
      </c>
      <c r="M149" s="15" t="inlineStr">
        <is>
          <t>Satin</t>
        </is>
      </c>
      <c r="N149" s="15" t="inlineStr">
        <is>
          <t>Print</t>
        </is>
      </c>
      <c r="O149" s="15" t="inlineStr">
        <is>
          <t>Crest</t>
        </is>
      </c>
      <c r="P149" s="15" t="inlineStr">
        <is>
          <t>ECT 44 B</t>
        </is>
      </c>
      <c r="Q149" s="15" t="inlineStr">
        <is>
          <t>No</t>
        </is>
      </c>
      <c r="R149" s="16" t="n">
        <v>40267.38</v>
      </c>
      <c r="S149" s="16" t="n">
        <v>54453.13</v>
      </c>
      <c r="T149" s="16" t="n">
        <v>-14185.75</v>
      </c>
      <c r="U149" s="17" t="n">
        <v>-26.05130320332367</v>
      </c>
      <c r="V149" s="18" t="n">
        <v>-1.045008062590269</v>
      </c>
      <c r="W149" s="15" t="inlineStr">
        <is>
          <t>Yes</t>
        </is>
      </c>
      <c r="X149" s="15" t="inlineStr">
        <is>
          <t>estimator input their own freight/did override.  Material was not a stocked length - triggered "Order"</t>
        </is>
      </c>
    </row>
    <row r="150">
      <c r="A150" s="14" t="n">
        <v>224302</v>
      </c>
      <c r="B150" s="15" t="inlineStr">
        <is>
          <t>CS-260820-141621</t>
        </is>
      </c>
      <c r="C150" s="15" t="inlineStr">
        <is>
          <t>No</t>
        </is>
      </c>
      <c r="D150" s="15" t="inlineStr">
        <is>
          <t>Massillon Container</t>
        </is>
      </c>
      <c r="E150" s="15" t="n"/>
      <c r="F150" s="15" t="inlineStr">
        <is>
          <t>Option 1</t>
        </is>
      </c>
      <c r="G150" s="14" t="n">
        <v>60</v>
      </c>
      <c r="H150" s="15" t="inlineStr">
        <is>
          <t>50-199</t>
        </is>
      </c>
      <c r="I150" s="15" t="inlineStr">
        <is>
          <t>60</t>
        </is>
      </c>
      <c r="J150" s="14" t="n">
        <v>1</v>
      </c>
      <c r="K150" s="14" t="n">
        <v>1</v>
      </c>
      <c r="L150" s="15" t="inlineStr">
        <is>
          <t>opt+qty</t>
        </is>
      </c>
      <c r="M150" s="15" t="inlineStr">
        <is>
          <t>None</t>
        </is>
      </c>
      <c r="N150" s="15" t="inlineStr">
        <is>
          <t>No Print</t>
        </is>
      </c>
      <c r="O150" s="15" t="inlineStr">
        <is>
          <t>CAD</t>
        </is>
      </c>
      <c r="P150" s="15" t="inlineStr">
        <is>
          <t>200 B</t>
        </is>
      </c>
      <c r="Q150" s="15" t="inlineStr">
        <is>
          <t>No</t>
        </is>
      </c>
      <c r="R150" s="16" t="n">
        <v>911.36</v>
      </c>
      <c r="S150" s="16" t="n">
        <v>808.98</v>
      </c>
      <c r="T150" s="16" t="n">
        <v>102.38</v>
      </c>
      <c r="U150" s="17" t="n">
        <v>12.65544265618433</v>
      </c>
      <c r="V150" s="18" t="n">
        <v>-0.2141657681727126</v>
      </c>
      <c r="W150" s="15" t="inlineStr">
        <is>
          <t>No</t>
        </is>
      </c>
      <c r="X150" s="15" t="inlineStr"/>
    </row>
    <row r="151">
      <c r="A151" s="14" t="n">
        <v>224302</v>
      </c>
      <c r="B151" s="15" t="inlineStr">
        <is>
          <t>CS-260820-141621</t>
        </is>
      </c>
      <c r="C151" s="15" t="inlineStr">
        <is>
          <t>No</t>
        </is>
      </c>
      <c r="D151" s="15" t="inlineStr">
        <is>
          <t>Massillon Container</t>
        </is>
      </c>
      <c r="E151" s="15" t="n"/>
      <c r="F151" s="15" t="inlineStr">
        <is>
          <t>Option 1</t>
        </is>
      </c>
      <c r="G151" s="14" t="n">
        <v>100</v>
      </c>
      <c r="H151" s="15" t="inlineStr">
        <is>
          <t>50-199</t>
        </is>
      </c>
      <c r="I151" s="15" t="inlineStr">
        <is>
          <t>100</t>
        </is>
      </c>
      <c r="J151" s="14" t="n">
        <v>1</v>
      </c>
      <c r="K151" s="14" t="n">
        <v>1</v>
      </c>
      <c r="L151" s="15" t="inlineStr">
        <is>
          <t>opt+qty</t>
        </is>
      </c>
      <c r="M151" s="15" t="inlineStr">
        <is>
          <t>None</t>
        </is>
      </c>
      <c r="N151" s="15" t="inlineStr">
        <is>
          <t>No Print</t>
        </is>
      </c>
      <c r="O151" s="15" t="inlineStr">
        <is>
          <t>CAD</t>
        </is>
      </c>
      <c r="P151" s="15" t="inlineStr">
        <is>
          <t>200 B</t>
        </is>
      </c>
      <c r="Q151" s="15" t="inlineStr">
        <is>
          <t>No</t>
        </is>
      </c>
      <c r="R151" s="16" t="n">
        <v>1423.59</v>
      </c>
      <c r="S151" s="16" t="n">
        <v>1266.66</v>
      </c>
      <c r="T151" s="16" t="n">
        <v>156.9299999999998</v>
      </c>
      <c r="U151" s="17" t="n">
        <v>12.38927573303016</v>
      </c>
      <c r="V151" s="18" t="n">
        <v>-0.2198790548936925</v>
      </c>
      <c r="W151" s="15" t="inlineStr">
        <is>
          <t>No</t>
        </is>
      </c>
      <c r="X151" s="15" t="inlineStr"/>
    </row>
    <row r="152">
      <c r="A152" s="14" t="n">
        <v>224305</v>
      </c>
      <c r="B152" s="15" t="inlineStr">
        <is>
          <t>CD-260820-144644</t>
        </is>
      </c>
      <c r="C152" s="15" t="inlineStr">
        <is>
          <t>No</t>
        </is>
      </c>
      <c r="D152" s="15" t="inlineStr">
        <is>
          <t>Massillon Container</t>
        </is>
      </c>
      <c r="E152" s="15" t="inlineStr">
        <is>
          <t>Drain CTN</t>
        </is>
      </c>
      <c r="F152" s="15" t="inlineStr">
        <is>
          <t>224305</t>
        </is>
      </c>
      <c r="G152" s="14" t="n">
        <v>500</v>
      </c>
      <c r="H152" s="15" t="inlineStr">
        <is>
          <t>200-999</t>
        </is>
      </c>
      <c r="I152" s="15" t="inlineStr">
        <is>
          <t>500</t>
        </is>
      </c>
      <c r="J152" s="14" t="n">
        <v>1</v>
      </c>
      <c r="K152" s="14" t="n">
        <v>1</v>
      </c>
      <c r="L152" s="15" t="inlineStr">
        <is>
          <t>qty-only</t>
        </is>
      </c>
      <c r="M152" s="15" t="inlineStr">
        <is>
          <t>Satin</t>
        </is>
      </c>
      <c r="N152" s="15" t="inlineStr">
        <is>
          <t>Print</t>
        </is>
      </c>
      <c r="O152" s="15" t="inlineStr">
        <is>
          <t>CAD</t>
        </is>
      </c>
      <c r="P152" s="15" t="inlineStr">
        <is>
          <t>200 E</t>
        </is>
      </c>
      <c r="Q152" s="15" t="inlineStr">
        <is>
          <t>No</t>
        </is>
      </c>
      <c r="R152" s="16" t="n">
        <v>794.7</v>
      </c>
      <c r="S152" s="16" t="n">
        <v>624</v>
      </c>
      <c r="T152" s="16" t="n">
        <v>170.7</v>
      </c>
      <c r="U152" s="17" t="n">
        <v>27.35576923076924</v>
      </c>
      <c r="V152" s="18" t="n">
        <v>0.1013774992527332</v>
      </c>
      <c r="W152" s="15" t="inlineStr">
        <is>
          <t>Yes</t>
        </is>
      </c>
      <c r="X152" s="15" t="inlineStr"/>
    </row>
    <row r="153">
      <c r="A153" s="14" t="n">
        <v>224322</v>
      </c>
      <c r="B153" s="15" t="inlineStr">
        <is>
          <t>RW-260821-104005</t>
        </is>
      </c>
      <c r="C153" s="15" t="inlineStr">
        <is>
          <t>No</t>
        </is>
      </c>
      <c r="D153" s="15" t="inlineStr">
        <is>
          <t>PCA - Ashland</t>
        </is>
      </c>
      <c r="E153" s="15" t="inlineStr">
        <is>
          <t>1736 Meijer TEMP C and T Holiday FP</t>
        </is>
      </c>
      <c r="F153" s="15" t="inlineStr">
        <is>
          <t>Die Cut</t>
        </is>
      </c>
      <c r="G153" s="14" t="n">
        <v>600</v>
      </c>
      <c r="H153" s="15" t="inlineStr">
        <is>
          <t>200-999</t>
        </is>
      </c>
      <c r="I153" s="15" t="inlineStr">
        <is>
          <t>600</t>
        </is>
      </c>
      <c r="J153" s="14" t="n">
        <v>2</v>
      </c>
      <c r="K153" s="14" t="n">
        <v>1</v>
      </c>
      <c r="L153" s="15" t="inlineStr">
        <is>
          <t>opt+qty</t>
        </is>
      </c>
      <c r="M153" s="15" t="inlineStr">
        <is>
          <t>Gloss/Satin</t>
        </is>
      </c>
      <c r="N153" s="15" t="inlineStr">
        <is>
          <t>Print</t>
        </is>
      </c>
      <c r="O153" s="15" t="inlineStr">
        <is>
          <t>CAD/Crest</t>
        </is>
      </c>
      <c r="P153" s="15" t="inlineStr">
        <is>
          <t>250 C</t>
        </is>
      </c>
      <c r="Q153" s="15" t="inlineStr">
        <is>
          <t>No</t>
        </is>
      </c>
      <c r="R153" s="16" t="n">
        <v>11638.2</v>
      </c>
      <c r="S153" s="16" t="n">
        <v>7148.75</v>
      </c>
      <c r="T153" s="16" t="n">
        <v>4489.450000000001</v>
      </c>
      <c r="U153" s="17" t="n">
        <v>62.80048959608324</v>
      </c>
      <c r="V153" s="18" t="n">
        <v>0.8622002483465389</v>
      </c>
      <c r="W153" s="15" t="inlineStr">
        <is>
          <t>No</t>
        </is>
      </c>
      <c r="X153" s="15" t="inlineStr"/>
    </row>
    <row r="154">
      <c r="A154" s="14" t="n">
        <v>224350</v>
      </c>
      <c r="B154" s="15" t="inlineStr">
        <is>
          <t>RW-260825-115948</t>
        </is>
      </c>
      <c r="C154" s="15" t="inlineStr">
        <is>
          <t>No</t>
        </is>
      </c>
      <c r="D154" s="15" t="inlineStr">
        <is>
          <t>PCA Pennsylvania Acquisition Corporation</t>
        </is>
      </c>
      <c r="E154" s="15" t="inlineStr">
        <is>
          <t xml:space="preserve">L'Oreal C15 LP COS </t>
        </is>
      </c>
      <c r="F154" s="15" t="inlineStr">
        <is>
          <t>Option 1 - CAD cut</t>
        </is>
      </c>
      <c r="G154" s="14" t="n">
        <v>12000</v>
      </c>
      <c r="H154" s="15" t="inlineStr">
        <is>
          <t>5000+</t>
        </is>
      </c>
      <c r="I154" s="15" t="inlineStr">
        <is>
          <t>12000</t>
        </is>
      </c>
      <c r="J154" s="14" t="n">
        <v>1</v>
      </c>
      <c r="K154" s="14" t="n">
        <v>1</v>
      </c>
      <c r="L154" s="15" t="inlineStr">
        <is>
          <t>opt+qty</t>
        </is>
      </c>
      <c r="M154" s="15" t="inlineStr">
        <is>
          <t>None</t>
        </is>
      </c>
      <c r="N154" s="15" t="inlineStr">
        <is>
          <t>No Print</t>
        </is>
      </c>
      <c r="O154" s="15" t="inlineStr">
        <is>
          <t>CAD</t>
        </is>
      </c>
      <c r="P154" s="15" t="inlineStr">
        <is>
          <t>ECT 51 B/C</t>
        </is>
      </c>
      <c r="Q154" s="15" t="inlineStr">
        <is>
          <t>No</t>
        </is>
      </c>
      <c r="R154" s="16" t="n">
        <v>2454.34</v>
      </c>
      <c r="S154" s="16" t="n">
        <v>1353.64</v>
      </c>
      <c r="T154" s="16" t="n">
        <v>1100.7</v>
      </c>
      <c r="U154" s="17" t="n">
        <v>81.31408646316598</v>
      </c>
      <c r="V154" s="18" t="n">
        <v>1.259595559096752</v>
      </c>
      <c r="W154" s="15" t="inlineStr">
        <is>
          <t>No</t>
        </is>
      </c>
      <c r="X154" s="15" t="inlineStr"/>
    </row>
    <row r="155">
      <c r="A155" s="14" t="n">
        <v>224362</v>
      </c>
      <c r="B155" s="15" t="inlineStr">
        <is>
          <t>CD-260821-152833</t>
        </is>
      </c>
      <c r="C155" s="15" t="inlineStr">
        <is>
          <t>No</t>
        </is>
      </c>
      <c r="D155" s="15" t="inlineStr">
        <is>
          <t>PCA (Packaging Corporation of America)</t>
        </is>
      </c>
      <c r="E155" s="15" t="inlineStr">
        <is>
          <t>44000 90245 2027 Oreo IMC Large DBL Kit — Digital Innovation Add On kit</t>
        </is>
      </c>
      <c r="F155" s="15" t="inlineStr">
        <is>
          <t>Option 1</t>
        </is>
      </c>
      <c r="G155" s="14" t="n">
        <v>920</v>
      </c>
      <c r="H155" s="15" t="inlineStr">
        <is>
          <t>200-999</t>
        </is>
      </c>
      <c r="I155" s="15" t="inlineStr">
        <is>
          <t>460-920</t>
        </is>
      </c>
      <c r="J155" s="14" t="n">
        <v>6</v>
      </c>
      <c r="K155" s="14" t="n">
        <v>6</v>
      </c>
      <c r="L155" s="15" t="inlineStr">
        <is>
          <t>estimate-fallback</t>
        </is>
      </c>
      <c r="M155" s="15" t="inlineStr">
        <is>
          <t>Gloss/Satin</t>
        </is>
      </c>
      <c r="N155" s="15" t="inlineStr">
        <is>
          <t>Print</t>
        </is>
      </c>
      <c r="O155" s="15" t="inlineStr">
        <is>
          <t>CAD/Crest</t>
        </is>
      </c>
      <c r="P155" s="15" t="inlineStr">
        <is>
          <t>ECT 40 B</t>
        </is>
      </c>
      <c r="Q155" s="15" t="inlineStr">
        <is>
          <t>No</t>
        </is>
      </c>
      <c r="R155" s="16" t="n">
        <v>37549.02</v>
      </c>
      <c r="S155" s="16" t="n">
        <v>21806.95</v>
      </c>
      <c r="T155" s="16" t="n">
        <v>15742.07</v>
      </c>
      <c r="U155" s="17" t="n">
        <v>72.18831611023091</v>
      </c>
      <c r="V155" s="18" t="n">
        <v>1.063710428223685</v>
      </c>
      <c r="W155" s="15" t="inlineStr">
        <is>
          <t>Yes</t>
        </is>
      </c>
      <c r="X155" s="15" t="inlineStr">
        <is>
          <t xml:space="preserve">User overrode freight | User overrode freight | User overrode freight | User overrode freight | User overrode freight | User overrode freight; Material ECT 44 C Triggered "Order" </t>
        </is>
      </c>
    </row>
    <row r="156">
      <c r="A156" s="14" t="n">
        <v>224374</v>
      </c>
      <c r="B156" s="15" t="inlineStr">
        <is>
          <t>RW-260826-105417</t>
        </is>
      </c>
      <c r="C156" s="15" t="inlineStr">
        <is>
          <t>No</t>
        </is>
      </c>
      <c r="D156" s="15" t="inlineStr">
        <is>
          <t>PCA Pennsylvania Acquisition Corporation</t>
        </is>
      </c>
      <c r="E156" s="15" t="inlineStr">
        <is>
          <t>Mini Pallet Band</t>
        </is>
      </c>
      <c r="F156" s="15" t="inlineStr">
        <is>
          <t>Option 1</t>
        </is>
      </c>
      <c r="G156" s="14" t="n">
        <v>1500</v>
      </c>
      <c r="H156" s="15" t="inlineStr">
        <is>
          <t>1000-4999</t>
        </is>
      </c>
      <c r="I156" s="15" t="inlineStr">
        <is>
          <t>1500</t>
        </is>
      </c>
      <c r="J156" s="14" t="n">
        <v>1</v>
      </c>
      <c r="K156" s="14" t="n">
        <v>1</v>
      </c>
      <c r="L156" s="15" t="inlineStr">
        <is>
          <t>opt+qty</t>
        </is>
      </c>
      <c r="M156" s="15" t="inlineStr">
        <is>
          <t>Satin</t>
        </is>
      </c>
      <c r="N156" s="15" t="inlineStr">
        <is>
          <t>Print</t>
        </is>
      </c>
      <c r="O156" s="15" t="inlineStr">
        <is>
          <t>Crest</t>
        </is>
      </c>
      <c r="P156" s="15" t="inlineStr">
        <is>
          <t>ECT 44 C</t>
        </is>
      </c>
      <c r="Q156" s="15" t="inlineStr">
        <is>
          <t>No</t>
        </is>
      </c>
      <c r="R156" s="16" t="n">
        <v>8089.25</v>
      </c>
      <c r="S156" s="16" t="n">
        <v>8032.63</v>
      </c>
      <c r="T156" s="16" t="n">
        <v>56.61999999999989</v>
      </c>
      <c r="U156" s="17" t="n">
        <v>0.7048749911299275</v>
      </c>
      <c r="V156" s="18" t="n">
        <v>-0.4706853189111033</v>
      </c>
      <c r="W156" s="15" t="inlineStr">
        <is>
          <t>No</t>
        </is>
      </c>
      <c r="X156" s="15" t="inlineStr"/>
    </row>
    <row r="157">
      <c r="A157" s="14" t="n">
        <v>224377</v>
      </c>
      <c r="B157" s="15" t="inlineStr">
        <is>
          <t>CD-260825-091053</t>
        </is>
      </c>
      <c r="C157" s="15" t="inlineStr">
        <is>
          <t>No</t>
        </is>
      </c>
      <c r="D157" s="15" t="inlineStr">
        <is>
          <t>Mondelez International</t>
        </is>
      </c>
      <c r="E157" s="15" t="inlineStr">
        <is>
          <t>44000 90245 2027 Oreo IMC Large DBL Kit — Digital Innovation Hutch Kit</t>
        </is>
      </c>
      <c r="F157" s="15" t="inlineStr">
        <is>
          <t>Option 1</t>
        </is>
      </c>
      <c r="G157" s="14" t="n">
        <v>800</v>
      </c>
      <c r="H157" s="15" t="inlineStr">
        <is>
          <t>200-999</t>
        </is>
      </c>
      <c r="I157" s="15" t="inlineStr">
        <is>
          <t>400-800</t>
        </is>
      </c>
      <c r="J157" s="14" t="n">
        <v>12</v>
      </c>
      <c r="K157" s="14" t="n">
        <v>11</v>
      </c>
      <c r="L157" s="15" t="inlineStr">
        <is>
          <t>opt+qty</t>
        </is>
      </c>
      <c r="M157" s="15" t="inlineStr">
        <is>
          <t>Gloss/Satin</t>
        </is>
      </c>
      <c r="N157" s="15" t="inlineStr">
        <is>
          <t>Print</t>
        </is>
      </c>
      <c r="O157" s="15" t="inlineStr">
        <is>
          <t>CAD/Crest/Saber + D/C</t>
        </is>
      </c>
      <c r="P157" s="15" t="inlineStr">
        <is>
          <t>ECT 44 B</t>
        </is>
      </c>
      <c r="Q157" s="15" t="inlineStr">
        <is>
          <t>No</t>
        </is>
      </c>
      <c r="R157" s="16" t="n">
        <v>96292.39999999999</v>
      </c>
      <c r="S157" s="16" t="n">
        <v>68154.65999999999</v>
      </c>
      <c r="T157" s="16" t="n">
        <v>28137.74000000001</v>
      </c>
      <c r="U157" s="17" t="n">
        <v>41.28513002632543</v>
      </c>
      <c r="V157" s="18" t="n">
        <v>0.4003719465037677</v>
      </c>
      <c r="W157" s="15" t="inlineStr">
        <is>
          <t>Yes</t>
        </is>
      </c>
      <c r="X157" s="15" t="inlineStr">
        <is>
          <t>freight overridden on this order ~15,217 in freight costs for whole job in SPOT - this creates another line-item for freight so it is double-counted (bug found) | Custom sheet order - 1 out | Custom sheet order - 1 out</t>
        </is>
      </c>
    </row>
    <row r="158">
      <c r="A158" s="14" t="n">
        <v>224399</v>
      </c>
      <c r="B158" s="15" t="inlineStr">
        <is>
          <t>CD-260825-104135</t>
        </is>
      </c>
      <c r="C158" s="15" t="inlineStr">
        <is>
          <t>No</t>
        </is>
      </c>
      <c r="D158" s="15" t="inlineStr">
        <is>
          <t>BCI Buckeye Division</t>
        </is>
      </c>
      <c r="E158" s="15" t="inlineStr">
        <is>
          <t>Part # 11590 / 11616 / 11617</t>
        </is>
      </c>
      <c r="F158" s="15" t="inlineStr">
        <is>
          <t>Die Cut 2 items</t>
        </is>
      </c>
      <c r="G158" s="14" t="n">
        <v>200</v>
      </c>
      <c r="H158" s="15" t="inlineStr">
        <is>
          <t>200-999</t>
        </is>
      </c>
      <c r="I158" s="15" t="inlineStr">
        <is>
          <t>100-200</t>
        </is>
      </c>
      <c r="J158" s="14" t="n">
        <v>3</v>
      </c>
      <c r="K158" s="14" t="n">
        <v>3</v>
      </c>
      <c r="L158" s="15" t="inlineStr">
        <is>
          <t>opt+qty</t>
        </is>
      </c>
      <c r="M158" s="15" t="inlineStr">
        <is>
          <t>Satin</t>
        </is>
      </c>
      <c r="N158" s="15" t="inlineStr">
        <is>
          <t>Print</t>
        </is>
      </c>
      <c r="O158" s="15" t="inlineStr">
        <is>
          <t>CAD</t>
        </is>
      </c>
      <c r="P158" s="15" t="inlineStr">
        <is>
          <t>200 B</t>
        </is>
      </c>
      <c r="Q158" s="15" t="inlineStr">
        <is>
          <t>No</t>
        </is>
      </c>
      <c r="R158" s="16" t="n">
        <v>6184.06</v>
      </c>
      <c r="S158" s="16" t="n">
        <v>7707.219999999999</v>
      </c>
      <c r="T158" s="16" t="n">
        <v>-1523.159999999999</v>
      </c>
      <c r="U158" s="17" t="n">
        <v>-19.76276789815263</v>
      </c>
      <c r="V158" s="18" t="n">
        <v>-0.9100243282190495</v>
      </c>
      <c r="W158" s="15" t="inlineStr">
        <is>
          <t>Yes</t>
        </is>
      </c>
      <c r="X158" s="15" t="inlineStr">
        <is>
          <t>iQuote data for this quote is for all Die cut, SPOT chose CAD for this one | iQuote data for this quote is for all Die cut, SPOT chose CAD for this one | iQuote data for this quote is for all Die cut, SPOT chose CAD for this one</t>
        </is>
      </c>
    </row>
    <row r="159">
      <c r="A159" s="14" t="n">
        <v>224424</v>
      </c>
      <c r="B159" s="15" t="inlineStr">
        <is>
          <t>CS-260825-160705</t>
        </is>
      </c>
      <c r="C159" s="15" t="inlineStr">
        <is>
          <t>No</t>
        </is>
      </c>
      <c r="D159" s="15" t="inlineStr">
        <is>
          <t>Effem (Mars Petcare)</t>
        </is>
      </c>
      <c r="E159" s="15" t="inlineStr">
        <is>
          <t>Temptations Bodega Direct Mailer</t>
        </is>
      </c>
      <c r="F159" s="15" t="inlineStr">
        <is>
          <t>224424</t>
        </is>
      </c>
      <c r="G159" s="14" t="n">
        <v>65</v>
      </c>
      <c r="H159" s="15" t="inlineStr">
        <is>
          <t>50-199</t>
        </is>
      </c>
      <c r="I159" s="15" t="inlineStr">
        <is>
          <t>65</t>
        </is>
      </c>
      <c r="J159" s="14" t="n">
        <v>3</v>
      </c>
      <c r="K159" s="14" t="n">
        <v>3</v>
      </c>
      <c r="L159" s="15" t="inlineStr">
        <is>
          <t>qty-only</t>
        </is>
      </c>
      <c r="M159" s="15" t="inlineStr">
        <is>
          <t>Gloss</t>
        </is>
      </c>
      <c r="N159" s="15" t="inlineStr">
        <is>
          <t>Print</t>
        </is>
      </c>
      <c r="O159" s="15" t="inlineStr">
        <is>
          <t>CAD</t>
        </is>
      </c>
      <c r="P159" s="15" t="inlineStr">
        <is>
          <t>ECT 40 B</t>
        </is>
      </c>
      <c r="Q159" s="15" t="inlineStr">
        <is>
          <t>No</t>
        </is>
      </c>
      <c r="R159" s="16" t="n">
        <v>4298.09</v>
      </c>
      <c r="S159" s="16" t="n">
        <v>3169.110000000001</v>
      </c>
      <c r="T159" s="16" t="n">
        <v>1128.98</v>
      </c>
      <c r="U159" s="17" t="n">
        <v>35.62451287585471</v>
      </c>
      <c r="V159" s="18" t="n">
        <v>0.2788665076795636</v>
      </c>
      <c r="W159" s="15" t="inlineStr">
        <is>
          <t>No</t>
        </is>
      </c>
      <c r="X159" s="15" t="inlineStr"/>
    </row>
    <row r="160">
      <c r="A160" s="14" t="n">
        <v>224430</v>
      </c>
      <c r="B160" s="15" t="inlineStr">
        <is>
          <t>RW-260826-104427</t>
        </is>
      </c>
      <c r="C160" s="15" t="inlineStr">
        <is>
          <t>No</t>
        </is>
      </c>
      <c r="D160" s="15" t="inlineStr">
        <is>
          <t>BCI Tennessee Division</t>
        </is>
      </c>
      <c r="E160" s="15" t="inlineStr">
        <is>
          <t>Dalen Mesh Fence Carton - Part#11636; File #157587</t>
        </is>
      </c>
      <c r="F160" s="15" t="inlineStr">
        <is>
          <t>CAD</t>
        </is>
      </c>
      <c r="G160" s="14" t="n">
        <v>100</v>
      </c>
      <c r="H160" s="15" t="inlineStr">
        <is>
          <t>50-199</t>
        </is>
      </c>
      <c r="I160" s="15" t="inlineStr">
        <is>
          <t>100</t>
        </is>
      </c>
      <c r="J160" s="14" t="n">
        <v>1</v>
      </c>
      <c r="K160" s="14" t="n">
        <v>1</v>
      </c>
      <c r="L160" s="15" t="inlineStr">
        <is>
          <t>opt+qty</t>
        </is>
      </c>
      <c r="M160" s="15" t="inlineStr">
        <is>
          <t>Satin</t>
        </is>
      </c>
      <c r="N160" s="15" t="inlineStr">
        <is>
          <t>Print</t>
        </is>
      </c>
      <c r="O160" s="15" t="inlineStr">
        <is>
          <t>CAD</t>
        </is>
      </c>
      <c r="P160" s="15" t="inlineStr">
        <is>
          <t>200 B</t>
        </is>
      </c>
      <c r="Q160" s="15" t="inlineStr">
        <is>
          <t>No</t>
        </is>
      </c>
      <c r="R160" s="16" t="n">
        <v>2171.54</v>
      </c>
      <c r="S160" s="16" t="n">
        <v>2083.64</v>
      </c>
      <c r="T160" s="16" t="n">
        <v>87.90000000000009</v>
      </c>
      <c r="U160" s="17" t="n">
        <v>4.2185790251675</v>
      </c>
      <c r="V160" s="18" t="n">
        <v>-0.3952634807607156</v>
      </c>
      <c r="W160" s="15" t="inlineStr">
        <is>
          <t>No</t>
        </is>
      </c>
      <c r="X160" s="15" t="inlineStr"/>
    </row>
    <row r="161">
      <c r="A161" s="14" t="n">
        <v>224430</v>
      </c>
      <c r="B161" s="15" t="inlineStr">
        <is>
          <t>RW-260826-104427</t>
        </is>
      </c>
      <c r="C161" s="15" t="inlineStr">
        <is>
          <t>No</t>
        </is>
      </c>
      <c r="D161" s="15" t="inlineStr">
        <is>
          <t>BCI Tennessee Division</t>
        </is>
      </c>
      <c r="E161" s="15" t="inlineStr">
        <is>
          <t>Dalen Mesh Fence Carton - Part#11636; File #157587</t>
        </is>
      </c>
      <c r="F161" s="15" t="inlineStr">
        <is>
          <t>CAD</t>
        </is>
      </c>
      <c r="G161" s="14" t="n">
        <v>250</v>
      </c>
      <c r="H161" s="15" t="inlineStr">
        <is>
          <t>200-999</t>
        </is>
      </c>
      <c r="I161" s="15" t="inlineStr">
        <is>
          <t>250</t>
        </is>
      </c>
      <c r="J161" s="14" t="n">
        <v>1</v>
      </c>
      <c r="K161" s="14" t="n">
        <v>1</v>
      </c>
      <c r="L161" s="15" t="inlineStr">
        <is>
          <t>opt+qty</t>
        </is>
      </c>
      <c r="M161" s="15" t="inlineStr">
        <is>
          <t>Satin</t>
        </is>
      </c>
      <c r="N161" s="15" t="inlineStr">
        <is>
          <t>Print</t>
        </is>
      </c>
      <c r="O161" s="15" t="inlineStr">
        <is>
          <t>Crest</t>
        </is>
      </c>
      <c r="P161" s="15" t="inlineStr">
        <is>
          <t>200 B</t>
        </is>
      </c>
      <c r="Q161" s="15" t="inlineStr">
        <is>
          <t>No</t>
        </is>
      </c>
      <c r="R161" s="16" t="n">
        <v>5183.53</v>
      </c>
      <c r="S161" s="16" t="n">
        <v>4923.43</v>
      </c>
      <c r="T161" s="16" t="n">
        <v>260.0999999999995</v>
      </c>
      <c r="U161" s="17" t="n">
        <v>5.282902366845867</v>
      </c>
      <c r="V161" s="18" t="n">
        <v>-0.372417725387431</v>
      </c>
      <c r="W161" s="15" t="inlineStr">
        <is>
          <t>No</t>
        </is>
      </c>
      <c r="X161" s="15" t="inlineStr"/>
    </row>
    <row r="162">
      <c r="A162" s="14" t="n">
        <v>224437</v>
      </c>
      <c r="B162" s="15" t="inlineStr">
        <is>
          <t>RW-260826-105021</t>
        </is>
      </c>
      <c r="C162" s="15" t="inlineStr">
        <is>
          <t>No</t>
        </is>
      </c>
      <c r="D162" s="15" t="inlineStr">
        <is>
          <t>BCI Tennessee Division</t>
        </is>
      </c>
      <c r="E162" s="15" t="inlineStr">
        <is>
          <t>Dalen Mesh Fence Carton Press Sheets - Part#11636; File #157587</t>
        </is>
      </c>
      <c r="F162" s="15" t="inlineStr">
        <is>
          <t>Option 1</t>
        </is>
      </c>
      <c r="G162" s="14" t="n">
        <v>300</v>
      </c>
      <c r="H162" s="15" t="inlineStr">
        <is>
          <t>200-999</t>
        </is>
      </c>
      <c r="I162" s="15" t="inlineStr">
        <is>
          <t>300</t>
        </is>
      </c>
      <c r="J162" s="14" t="n">
        <v>1</v>
      </c>
      <c r="K162" s="14" t="n">
        <v>1</v>
      </c>
      <c r="L162" s="15" t="inlineStr">
        <is>
          <t>opt+qty</t>
        </is>
      </c>
      <c r="M162" s="15" t="inlineStr">
        <is>
          <t>Satin</t>
        </is>
      </c>
      <c r="N162" s="15" t="inlineStr">
        <is>
          <t>Print</t>
        </is>
      </c>
      <c r="O162" s="15" t="inlineStr">
        <is>
          <t>CAD</t>
        </is>
      </c>
      <c r="P162" s="15" t="inlineStr">
        <is>
          <t>200 B</t>
        </is>
      </c>
      <c r="Q162" s="15" t="inlineStr">
        <is>
          <t>No</t>
        </is>
      </c>
      <c r="R162" s="16" t="n">
        <v>4194.73</v>
      </c>
      <c r="S162" s="16" t="n">
        <v>3614.6</v>
      </c>
      <c r="T162" s="16" t="n">
        <v>580.1299999999997</v>
      </c>
      <c r="U162" s="17" t="n">
        <v>16.04963204780611</v>
      </c>
      <c r="V162" s="18" t="n">
        <v>-0.1413093179803219</v>
      </c>
      <c r="W162" s="15" t="inlineStr">
        <is>
          <t>No</t>
        </is>
      </c>
      <c r="X162" s="15" t="inlineStr"/>
    </row>
    <row r="163">
      <c r="A163" s="14" t="n">
        <v>224437</v>
      </c>
      <c r="B163" s="15" t="inlineStr">
        <is>
          <t>RW-260826-105021</t>
        </is>
      </c>
      <c r="C163" s="15" t="inlineStr">
        <is>
          <t>No</t>
        </is>
      </c>
      <c r="D163" s="15" t="inlineStr">
        <is>
          <t>BCI Tennessee Division</t>
        </is>
      </c>
      <c r="E163" s="15" t="inlineStr">
        <is>
          <t>Dalen Mesh Fence Carton Press Sheets - Part#11636; File #157587</t>
        </is>
      </c>
      <c r="F163" s="15" t="inlineStr">
        <is>
          <t>Option 1</t>
        </is>
      </c>
      <c r="G163" s="14" t="n">
        <v>450</v>
      </c>
      <c r="H163" s="15" t="inlineStr">
        <is>
          <t>200-999</t>
        </is>
      </c>
      <c r="I163" s="15" t="inlineStr">
        <is>
          <t>450</t>
        </is>
      </c>
      <c r="J163" s="14" t="n">
        <v>1</v>
      </c>
      <c r="K163" s="14" t="n">
        <v>1</v>
      </c>
      <c r="L163" s="15" t="inlineStr">
        <is>
          <t>opt+qty</t>
        </is>
      </c>
      <c r="M163" s="15" t="inlineStr">
        <is>
          <t>Satin</t>
        </is>
      </c>
      <c r="N163" s="15" t="inlineStr">
        <is>
          <t>Print</t>
        </is>
      </c>
      <c r="O163" s="15" t="inlineStr">
        <is>
          <t>CAD</t>
        </is>
      </c>
      <c r="P163" s="15" t="inlineStr">
        <is>
          <t>200 B</t>
        </is>
      </c>
      <c r="Q163" s="15" t="inlineStr">
        <is>
          <t>No</t>
        </is>
      </c>
      <c r="R163" s="16" t="n">
        <v>5884.24</v>
      </c>
      <c r="S163" s="16" t="n">
        <v>5164.31</v>
      </c>
      <c r="T163" s="16" t="n">
        <v>719.9299999999994</v>
      </c>
      <c r="U163" s="17" t="n">
        <v>13.94048769341886</v>
      </c>
      <c r="V163" s="18" t="n">
        <v>-0.1865822102306139</v>
      </c>
      <c r="W163" s="15" t="inlineStr">
        <is>
          <t>No</t>
        </is>
      </c>
      <c r="X163" s="15" t="inlineStr"/>
    </row>
    <row r="164">
      <c r="A164" s="14" t="n">
        <v>224446</v>
      </c>
      <c r="B164" s="15" t="inlineStr">
        <is>
          <t>CS-260826-115130</t>
        </is>
      </c>
      <c r="C164" s="15" t="inlineStr">
        <is>
          <t>No</t>
        </is>
      </c>
      <c r="D164" s="15" t="inlineStr">
        <is>
          <t>Apex Display Group</t>
        </is>
      </c>
      <c r="E164" s="15" t="inlineStr">
        <is>
          <t>Barrys Gold 80ct</t>
        </is>
      </c>
      <c r="F164" s="15" t="inlineStr">
        <is>
          <t>224446</t>
        </is>
      </c>
      <c r="G164" s="14" t="n">
        <v>600</v>
      </c>
      <c r="H164" s="15" t="inlineStr">
        <is>
          <t>200-999</t>
        </is>
      </c>
      <c r="I164" s="15" t="inlineStr">
        <is>
          <t>600</t>
        </is>
      </c>
      <c r="J164" s="14" t="n">
        <v>1</v>
      </c>
      <c r="K164" s="14" t="n">
        <v>1</v>
      </c>
      <c r="L164" s="15" t="inlineStr">
        <is>
          <t>qty-only</t>
        </is>
      </c>
      <c r="M164" s="15" t="inlineStr">
        <is>
          <t>Gloss</t>
        </is>
      </c>
      <c r="N164" s="15" t="inlineStr">
        <is>
          <t>Print</t>
        </is>
      </c>
      <c r="O164" s="15" t="inlineStr">
        <is>
          <t>CAD</t>
        </is>
      </c>
      <c r="P164" s="15" t="inlineStr">
        <is>
          <t>ECT 32 B</t>
        </is>
      </c>
      <c r="Q164" s="15" t="inlineStr">
        <is>
          <t>No</t>
        </is>
      </c>
      <c r="R164" s="16" t="n">
        <v>1232.87</v>
      </c>
      <c r="S164" s="16" t="n">
        <v>1237.25</v>
      </c>
      <c r="T164" s="16" t="n">
        <v>-4.380000000000109</v>
      </c>
      <c r="U164" s="17" t="n">
        <v>-0.35401091129522</v>
      </c>
      <c r="V164" s="18" t="n">
        <v>-0.4934143593706283</v>
      </c>
      <c r="W164" s="15" t="inlineStr">
        <is>
          <t>No</t>
        </is>
      </c>
      <c r="X164" s="15" t="inlineStr"/>
    </row>
    <row r="165">
      <c r="A165" s="14" t="n">
        <v>224446</v>
      </c>
      <c r="B165" s="15" t="inlineStr">
        <is>
          <t>CS-260826-115130</t>
        </is>
      </c>
      <c r="C165" s="15" t="inlineStr">
        <is>
          <t>No</t>
        </is>
      </c>
      <c r="D165" s="15" t="inlineStr">
        <is>
          <t>Apex Display Group</t>
        </is>
      </c>
      <c r="E165" s="15" t="inlineStr">
        <is>
          <t>Barrys Gold 80ct</t>
        </is>
      </c>
      <c r="F165" s="15" t="inlineStr">
        <is>
          <t>224446</t>
        </is>
      </c>
      <c r="G165" s="14" t="n">
        <v>800</v>
      </c>
      <c r="H165" s="15" t="inlineStr">
        <is>
          <t>200-999</t>
        </is>
      </c>
      <c r="I165" s="15" t="inlineStr">
        <is>
          <t>800</t>
        </is>
      </c>
      <c r="J165" s="14" t="n">
        <v>1</v>
      </c>
      <c r="K165" s="14" t="n">
        <v>1</v>
      </c>
      <c r="L165" s="15" t="inlineStr">
        <is>
          <t>qty-only</t>
        </is>
      </c>
      <c r="M165" s="15" t="inlineStr">
        <is>
          <t>Gloss</t>
        </is>
      </c>
      <c r="N165" s="15" t="inlineStr">
        <is>
          <t>Print</t>
        </is>
      </c>
      <c r="O165" s="15" t="inlineStr">
        <is>
          <t>CAD</t>
        </is>
      </c>
      <c r="P165" s="15" t="inlineStr">
        <is>
          <t>ECT 32 B</t>
        </is>
      </c>
      <c r="Q165" s="15" t="inlineStr">
        <is>
          <t>No</t>
        </is>
      </c>
      <c r="R165" s="16" t="n">
        <v>1550.27</v>
      </c>
      <c r="S165" s="16" t="n">
        <v>1492.94</v>
      </c>
      <c r="T165" s="16" t="n">
        <v>57.32999999999993</v>
      </c>
      <c r="U165" s="17" t="n">
        <v>3.840073948048811</v>
      </c>
      <c r="V165" s="18" t="n">
        <v>-0.4033881117452843</v>
      </c>
      <c r="W165" s="15" t="inlineStr">
        <is>
          <t>No</t>
        </is>
      </c>
      <c r="X165" s="15" t="inlineStr"/>
    </row>
    <row r="166">
      <c r="A166" s="14" t="n">
        <v>224446</v>
      </c>
      <c r="B166" s="15" t="inlineStr">
        <is>
          <t>CS-260826-115130</t>
        </is>
      </c>
      <c r="C166" s="15" t="inlineStr">
        <is>
          <t>No</t>
        </is>
      </c>
      <c r="D166" s="15" t="inlineStr">
        <is>
          <t>Apex Display Group</t>
        </is>
      </c>
      <c r="E166" s="15" t="inlineStr">
        <is>
          <t>Barrys Gold 80ct</t>
        </is>
      </c>
      <c r="F166" s="15" t="inlineStr">
        <is>
          <t>224446</t>
        </is>
      </c>
      <c r="G166" s="14" t="n">
        <v>1000</v>
      </c>
      <c r="H166" s="15" t="inlineStr">
        <is>
          <t>1000-4999</t>
        </is>
      </c>
      <c r="I166" s="15" t="inlineStr">
        <is>
          <t>1000</t>
        </is>
      </c>
      <c r="J166" s="14" t="n">
        <v>1</v>
      </c>
      <c r="K166" s="14" t="n">
        <v>1</v>
      </c>
      <c r="L166" s="15" t="inlineStr">
        <is>
          <t>qty-only</t>
        </is>
      </c>
      <c r="M166" s="15" t="inlineStr">
        <is>
          <t>Gloss</t>
        </is>
      </c>
      <c r="N166" s="15" t="inlineStr">
        <is>
          <t>Print</t>
        </is>
      </c>
      <c r="O166" s="15" t="inlineStr">
        <is>
          <t>CAD</t>
        </is>
      </c>
      <c r="P166" s="15" t="inlineStr">
        <is>
          <t>ECT 32 B</t>
        </is>
      </c>
      <c r="Q166" s="15" t="inlineStr">
        <is>
          <t>No</t>
        </is>
      </c>
      <c r="R166" s="16" t="n">
        <v>1867.68</v>
      </c>
      <c r="S166" s="16" t="n">
        <v>1748.62</v>
      </c>
      <c r="T166" s="16" t="n">
        <v>119.0600000000002</v>
      </c>
      <c r="U166" s="17" t="n">
        <v>6.808797794832507</v>
      </c>
      <c r="V166" s="18" t="n">
        <v>-0.3396643013969134</v>
      </c>
      <c r="W166" s="15" t="inlineStr">
        <is>
          <t>No</t>
        </is>
      </c>
      <c r="X166" s="15" t="inlineStr"/>
    </row>
    <row r="167">
      <c r="A167" s="14" t="n">
        <v>224454</v>
      </c>
      <c r="B167" s="15" t="inlineStr">
        <is>
          <t>FD-260827-072046</t>
        </is>
      </c>
      <c r="C167" s="15" t="inlineStr">
        <is>
          <t>No</t>
        </is>
      </c>
      <c r="D167" s="15" t="inlineStr">
        <is>
          <t>PCA - Ashland</t>
        </is>
      </c>
      <c r="E167" s="15" t="n"/>
      <c r="F167" s="15" t="inlineStr">
        <is>
          <t>DieCut</t>
        </is>
      </c>
      <c r="G167" s="14" t="n">
        <v>315</v>
      </c>
      <c r="H167" s="15" t="inlineStr">
        <is>
          <t>200-999</t>
        </is>
      </c>
      <c r="I167" s="15" t="inlineStr">
        <is>
          <t>315</t>
        </is>
      </c>
      <c r="J167" s="14" t="n">
        <v>1</v>
      </c>
      <c r="K167" s="14" t="n">
        <v>1</v>
      </c>
      <c r="L167" s="15" t="inlineStr">
        <is>
          <t>opt+qty</t>
        </is>
      </c>
      <c r="M167" s="15" t="inlineStr">
        <is>
          <t>Gloss</t>
        </is>
      </c>
      <c r="N167" s="15" t="inlineStr">
        <is>
          <t>Print</t>
        </is>
      </c>
      <c r="O167" s="15" t="inlineStr">
        <is>
          <t>Crest</t>
        </is>
      </c>
      <c r="P167" s="15" t="inlineStr">
        <is>
          <t>250 B</t>
        </is>
      </c>
      <c r="Q167" s="15" t="inlineStr">
        <is>
          <t>No</t>
        </is>
      </c>
      <c r="R167" s="16" t="n">
        <v>3560.6</v>
      </c>
      <c r="S167" s="16" t="n">
        <v>3399.13</v>
      </c>
      <c r="T167" s="16" t="n">
        <v>161.4699999999998</v>
      </c>
      <c r="U167" s="17" t="n">
        <v>4.750333173488505</v>
      </c>
      <c r="V167" s="18" t="n">
        <v>-0.3838493505659255</v>
      </c>
      <c r="W167" s="15" t="inlineStr">
        <is>
          <t>No</t>
        </is>
      </c>
      <c r="X167" s="15" t="inlineStr"/>
    </row>
    <row r="168">
      <c r="A168" s="14" t="n">
        <v>224464</v>
      </c>
      <c r="B168" s="15" t="inlineStr">
        <is>
          <t>FD-260827-073537</t>
        </is>
      </c>
      <c r="C168" s="15" t="inlineStr">
        <is>
          <t>No</t>
        </is>
      </c>
      <c r="D168" s="15" t="inlineStr">
        <is>
          <t>PCA Pennsylvania Acquisition Corporation</t>
        </is>
      </c>
      <c r="E168" s="15" t="n"/>
      <c r="F168" s="15" t="inlineStr">
        <is>
          <t>Option 1</t>
        </is>
      </c>
      <c r="G168" s="14" t="n">
        <v>1920</v>
      </c>
      <c r="H168" s="15" t="inlineStr">
        <is>
          <t>1000-4999</t>
        </is>
      </c>
      <c r="I168" s="15" t="inlineStr">
        <is>
          <t>480-1920</t>
        </is>
      </c>
      <c r="J168" s="14" t="n">
        <v>3</v>
      </c>
      <c r="K168" s="14" t="n">
        <v>3</v>
      </c>
      <c r="L168" s="15" t="inlineStr">
        <is>
          <t>opt+qty</t>
        </is>
      </c>
      <c r="M168" s="15" t="inlineStr">
        <is>
          <t>Gloss</t>
        </is>
      </c>
      <c r="N168" s="15" t="inlineStr">
        <is>
          <t>Print</t>
        </is>
      </c>
      <c r="O168" s="15" t="inlineStr">
        <is>
          <t>CAD/Crest</t>
        </is>
      </c>
      <c r="P168" s="15" t="inlineStr">
        <is>
          <t>200 B</t>
        </is>
      </c>
      <c r="Q168" s="15" t="inlineStr">
        <is>
          <t>No</t>
        </is>
      </c>
      <c r="R168" s="16" t="n">
        <v>14715.67</v>
      </c>
      <c r="S168" s="16" t="n">
        <v>13746.62</v>
      </c>
      <c r="T168" s="16" t="n">
        <v>969.0500000000011</v>
      </c>
      <c r="U168" s="17" t="n">
        <v>7.04936922676266</v>
      </c>
      <c r="V168" s="18" t="n">
        <v>-0.3345004232139825</v>
      </c>
      <c r="W168" s="15" t="inlineStr">
        <is>
          <t>No</t>
        </is>
      </c>
      <c r="X168" s="15" t="inlineStr"/>
    </row>
    <row r="169">
      <c r="A169" s="14" t="n">
        <v>224504</v>
      </c>
      <c r="B169" s="15" t="inlineStr">
        <is>
          <t>CD-260825-134048</t>
        </is>
      </c>
      <c r="C169" s="15" t="inlineStr">
        <is>
          <t>No</t>
        </is>
      </c>
      <c r="D169" s="15" t="inlineStr">
        <is>
          <t>Apex Display Group</t>
        </is>
      </c>
      <c r="E169" s="15" t="inlineStr">
        <is>
          <t>Universal</t>
        </is>
      </c>
      <c r="F169" s="15" t="inlineStr">
        <is>
          <t>Option 1</t>
        </is>
      </c>
      <c r="G169" s="14" t="n">
        <v>500</v>
      </c>
      <c r="H169" s="15" t="inlineStr">
        <is>
          <t>200-999</t>
        </is>
      </c>
      <c r="I169" s="15" t="inlineStr">
        <is>
          <t>500</t>
        </is>
      </c>
      <c r="J169" s="14" t="n">
        <v>1</v>
      </c>
      <c r="K169" s="14" t="n">
        <v>1</v>
      </c>
      <c r="L169" s="15" t="inlineStr">
        <is>
          <t>opt+qty</t>
        </is>
      </c>
      <c r="M169" s="15" t="inlineStr">
        <is>
          <t>Gloss</t>
        </is>
      </c>
      <c r="N169" s="15" t="inlineStr">
        <is>
          <t>Print</t>
        </is>
      </c>
      <c r="O169" s="15" t="inlineStr">
        <is>
          <t>CAD</t>
        </is>
      </c>
      <c r="P169" s="15" t="inlineStr">
        <is>
          <t>ECT 32 B</t>
        </is>
      </c>
      <c r="Q169" s="15" t="inlineStr">
        <is>
          <t>No</t>
        </is>
      </c>
      <c r="R169" s="16" t="n">
        <v>1432.04</v>
      </c>
      <c r="S169" s="16" t="n">
        <v>1120.4</v>
      </c>
      <c r="T169" s="16" t="n">
        <v>311.6399999999999</v>
      </c>
      <c r="U169" s="17" t="n">
        <v>27.81506604784004</v>
      </c>
      <c r="V169" s="18" t="n">
        <v>0.1112363290985402</v>
      </c>
      <c r="W169" s="15" t="inlineStr">
        <is>
          <t>Yes</t>
        </is>
      </c>
      <c r="X169" s="15" t="inlineStr">
        <is>
          <t>estimator overrode freight</t>
        </is>
      </c>
    </row>
    <row r="170">
      <c r="A170" s="14" t="n">
        <v>224504</v>
      </c>
      <c r="B170" s="15" t="inlineStr">
        <is>
          <t>CD-260825-134048</t>
        </is>
      </c>
      <c r="C170" s="15" t="inlineStr">
        <is>
          <t>No</t>
        </is>
      </c>
      <c r="D170" s="15" t="inlineStr">
        <is>
          <t>Apex Display Group</t>
        </is>
      </c>
      <c r="E170" s="15" t="inlineStr">
        <is>
          <t>Universal</t>
        </is>
      </c>
      <c r="F170" s="15" t="inlineStr">
        <is>
          <t>Option 1</t>
        </is>
      </c>
      <c r="G170" s="14" t="n">
        <v>750</v>
      </c>
      <c r="H170" s="15" t="inlineStr">
        <is>
          <t>200-999</t>
        </is>
      </c>
      <c r="I170" s="15" t="inlineStr">
        <is>
          <t>750</t>
        </is>
      </c>
      <c r="J170" s="14" t="n">
        <v>1</v>
      </c>
      <c r="K170" s="14" t="n">
        <v>1</v>
      </c>
      <c r="L170" s="15" t="inlineStr">
        <is>
          <t>opt+qty</t>
        </is>
      </c>
      <c r="M170" s="15" t="inlineStr">
        <is>
          <t>Gloss</t>
        </is>
      </c>
      <c r="N170" s="15" t="inlineStr">
        <is>
          <t>Print</t>
        </is>
      </c>
      <c r="O170" s="15" t="inlineStr">
        <is>
          <t>CAD</t>
        </is>
      </c>
      <c r="P170" s="15" t="inlineStr">
        <is>
          <t>ECT 32 B</t>
        </is>
      </c>
      <c r="Q170" s="15" t="inlineStr">
        <is>
          <t>No</t>
        </is>
      </c>
      <c r="R170" s="16" t="n">
        <v>1535.77</v>
      </c>
      <c r="S170" s="16" t="n">
        <v>1419.01</v>
      </c>
      <c r="T170" s="16" t="n">
        <v>116.76</v>
      </c>
      <c r="U170" s="17" t="n">
        <v>8.228271823313436</v>
      </c>
      <c r="V170" s="18" t="n">
        <v>-0.3091952182306382</v>
      </c>
      <c r="W170" s="15" t="inlineStr">
        <is>
          <t>Yes</t>
        </is>
      </c>
      <c r="X170" s="15" t="inlineStr">
        <is>
          <t>estimator overrode freight</t>
        </is>
      </c>
    </row>
    <row r="171">
      <c r="A171" s="14" t="n">
        <v>224504</v>
      </c>
      <c r="B171" s="15" t="inlineStr">
        <is>
          <t>CD-260825-134048</t>
        </is>
      </c>
      <c r="C171" s="15" t="inlineStr">
        <is>
          <t>No</t>
        </is>
      </c>
      <c r="D171" s="15" t="inlineStr">
        <is>
          <t>Apex Display Group</t>
        </is>
      </c>
      <c r="E171" s="15" t="inlineStr">
        <is>
          <t>Universal</t>
        </is>
      </c>
      <c r="F171" s="15" t="inlineStr">
        <is>
          <t>Option 1</t>
        </is>
      </c>
      <c r="G171" s="14" t="n">
        <v>1000</v>
      </c>
      <c r="H171" s="15" t="inlineStr">
        <is>
          <t>1000-4999</t>
        </is>
      </c>
      <c r="I171" s="15" t="inlineStr">
        <is>
          <t>1000</t>
        </is>
      </c>
      <c r="J171" s="14" t="n">
        <v>1</v>
      </c>
      <c r="K171" s="14" t="n">
        <v>1</v>
      </c>
      <c r="L171" s="15" t="inlineStr">
        <is>
          <t>opt+qty</t>
        </is>
      </c>
      <c r="M171" s="15" t="inlineStr">
        <is>
          <t>Gloss</t>
        </is>
      </c>
      <c r="N171" s="15" t="inlineStr">
        <is>
          <t>Print</t>
        </is>
      </c>
      <c r="O171" s="15" t="inlineStr">
        <is>
          <t>CAD</t>
        </is>
      </c>
      <c r="P171" s="15" t="inlineStr">
        <is>
          <t>ECT 32 B</t>
        </is>
      </c>
      <c r="Q171" s="15" t="inlineStr">
        <is>
          <t>No</t>
        </is>
      </c>
      <c r="R171" s="16" t="n">
        <v>1882.13</v>
      </c>
      <c r="S171" s="16" t="n">
        <v>1739.5</v>
      </c>
      <c r="T171" s="16" t="n">
        <v>142.6300000000001</v>
      </c>
      <c r="U171" s="17" t="n">
        <v>8.199482609945392</v>
      </c>
      <c r="V171" s="18" t="n">
        <v>-0.30981318017908</v>
      </c>
      <c r="W171" s="15" t="inlineStr">
        <is>
          <t>Yes</t>
        </is>
      </c>
      <c r="X171" s="15" t="inlineStr">
        <is>
          <t>estimator overrode freight</t>
        </is>
      </c>
    </row>
    <row r="172">
      <c r="A172" s="14" t="n">
        <v>224524</v>
      </c>
      <c r="B172" s="15" t="inlineStr">
        <is>
          <t>RW-260827-085319</t>
        </is>
      </c>
      <c r="C172" s="15" t="inlineStr">
        <is>
          <t>No</t>
        </is>
      </c>
      <c r="D172" s="15" t="inlineStr">
        <is>
          <t>Weber Display &amp; Packaging</t>
        </is>
      </c>
      <c r="E172" s="15" t="inlineStr">
        <is>
          <t>2026 Promo Boxes</t>
        </is>
      </c>
      <c r="F172" s="15" t="inlineStr">
        <is>
          <t>Option 1</t>
        </is>
      </c>
      <c r="G172" s="14" t="n">
        <v>130</v>
      </c>
      <c r="H172" s="15" t="inlineStr">
        <is>
          <t>50-199</t>
        </is>
      </c>
      <c r="I172" s="15" t="inlineStr">
        <is>
          <t>130</t>
        </is>
      </c>
      <c r="J172" s="14" t="n">
        <v>1</v>
      </c>
      <c r="K172" s="14" t="n">
        <v>1</v>
      </c>
      <c r="L172" s="15" t="inlineStr">
        <is>
          <t>opt+qty</t>
        </is>
      </c>
      <c r="M172" s="15" t="inlineStr">
        <is>
          <t>Gloss</t>
        </is>
      </c>
      <c r="N172" s="15" t="inlineStr">
        <is>
          <t>Print</t>
        </is>
      </c>
      <c r="O172" s="15" t="inlineStr">
        <is>
          <t>Crest</t>
        </is>
      </c>
      <c r="P172" s="15" t="inlineStr">
        <is>
          <t>200 B</t>
        </is>
      </c>
      <c r="Q172" s="15" t="inlineStr">
        <is>
          <t>No</t>
        </is>
      </c>
      <c r="R172" s="16" t="n">
        <v>5310.32</v>
      </c>
      <c r="S172" s="16" t="n">
        <v>4029.04</v>
      </c>
      <c r="T172" s="16" t="n">
        <v>1281.28</v>
      </c>
      <c r="U172" s="17" t="n">
        <v>31.80112384091495</v>
      </c>
      <c r="V172" s="18" t="n">
        <v>0.1967972650268656</v>
      </c>
      <c r="W172" s="15" t="inlineStr">
        <is>
          <t>No</t>
        </is>
      </c>
      <c r="X172" s="15" t="inlineStr"/>
    </row>
    <row r="173">
      <c r="A173" s="14" t="n">
        <v>224524</v>
      </c>
      <c r="B173" s="15" t="inlineStr">
        <is>
          <t>RW-260827-085319</t>
        </is>
      </c>
      <c r="C173" s="15" t="inlineStr">
        <is>
          <t>No</t>
        </is>
      </c>
      <c r="D173" s="15" t="inlineStr">
        <is>
          <t>Weber Display &amp; Packaging</t>
        </is>
      </c>
      <c r="E173" s="15" t="inlineStr">
        <is>
          <t>2026 Promo Boxes</t>
        </is>
      </c>
      <c r="F173" s="15" t="inlineStr">
        <is>
          <t>Option 1</t>
        </is>
      </c>
      <c r="G173" s="14" t="n">
        <v>180</v>
      </c>
      <c r="H173" s="15" t="inlineStr">
        <is>
          <t>50-199</t>
        </is>
      </c>
      <c r="I173" s="15" t="inlineStr">
        <is>
          <t>180</t>
        </is>
      </c>
      <c r="J173" s="14" t="n">
        <v>1</v>
      </c>
      <c r="K173" s="14" t="n">
        <v>1</v>
      </c>
      <c r="L173" s="15" t="inlineStr">
        <is>
          <t>opt+qty</t>
        </is>
      </c>
      <c r="M173" s="15" t="inlineStr">
        <is>
          <t>Gloss</t>
        </is>
      </c>
      <c r="N173" s="15" t="inlineStr">
        <is>
          <t>Print</t>
        </is>
      </c>
      <c r="O173" s="15" t="inlineStr">
        <is>
          <t>Crest</t>
        </is>
      </c>
      <c r="P173" s="15" t="inlineStr">
        <is>
          <t>200 B</t>
        </is>
      </c>
      <c r="Q173" s="15" t="inlineStr">
        <is>
          <t>No</t>
        </is>
      </c>
      <c r="R173" s="16" t="n">
        <v>6647.59</v>
      </c>
      <c r="S173" s="16" t="n">
        <v>5381.51</v>
      </c>
      <c r="T173" s="16" t="n">
        <v>1266.08</v>
      </c>
      <c r="U173" s="17" t="n">
        <v>23.52648234417477</v>
      </c>
      <c r="V173" s="18" t="n">
        <v>0.01918165891035298</v>
      </c>
      <c r="W173" s="15" t="inlineStr">
        <is>
          <t>No</t>
        </is>
      </c>
      <c r="X173" s="15" t="inlineStr"/>
    </row>
  </sheetData>
  <autoFilter ref="A1:X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s="1" t="inlineStr">
        <is>
          <t>Variance by Qty Range — All Quote Totals</t>
        </is>
      </c>
    </row>
    <row r="3">
      <c r="A3" s="13" t="inlineStr">
        <is>
          <t>Qty Band</t>
        </is>
      </c>
      <c r="B3" s="13" t="inlineStr">
        <is>
          <t>Count</t>
        </is>
      </c>
      <c r="C3" s="13" t="inlineStr">
        <is>
          <t>Avg Variance %</t>
        </is>
      </c>
      <c r="D3" s="13" t="inlineStr">
        <is>
          <t>Median Variance %</t>
        </is>
      </c>
      <c r="E3" s="13" t="inlineStr">
        <is>
          <t>P25</t>
        </is>
      </c>
      <c r="F3" s="13" t="inlineStr">
        <is>
          <t>P75</t>
        </is>
      </c>
      <c r="G3" s="13" t="inlineStr">
        <is>
          <t>Std Dev</t>
        </is>
      </c>
    </row>
    <row r="4">
      <c r="A4" s="15" t="inlineStr">
        <is>
          <t>1-49</t>
        </is>
      </c>
      <c r="B4" s="14" t="n">
        <v>22</v>
      </c>
      <c r="C4" s="17" t="n">
        <v>45.33899531441994</v>
      </c>
      <c r="D4" s="17" t="n">
        <v>32.72258749517896</v>
      </c>
      <c r="E4" s="17" t="n">
        <v>20.96876916036284</v>
      </c>
      <c r="F4" s="17" t="n">
        <v>57.60269454514941</v>
      </c>
      <c r="G4" s="17" t="n">
        <v>45.87564060022622</v>
      </c>
    </row>
    <row r="5">
      <c r="A5" s="15" t="inlineStr">
        <is>
          <t>50-199</t>
        </is>
      </c>
      <c r="B5" s="14" t="n">
        <v>42</v>
      </c>
      <c r="C5" s="17" t="n">
        <v>29.84843593202334</v>
      </c>
      <c r="D5" s="17" t="n">
        <v>12.52235919460724</v>
      </c>
      <c r="E5" s="17" t="n">
        <v>-0.6471000199315902</v>
      </c>
      <c r="F5" s="17" t="n">
        <v>34.76072856099378</v>
      </c>
      <c r="G5" s="17" t="n">
        <v>74.60105882979906</v>
      </c>
    </row>
    <row r="6">
      <c r="A6" s="15" t="inlineStr">
        <is>
          <t>200-999</t>
        </is>
      </c>
      <c r="B6" s="14" t="n">
        <v>73</v>
      </c>
      <c r="C6" s="17" t="n">
        <v>20.84296166662599</v>
      </c>
      <c r="D6" s="17" t="n">
        <v>21.02030599411455</v>
      </c>
      <c r="E6" s="17" t="n">
        <v>7.522280526403464</v>
      </c>
      <c r="F6" s="17" t="n">
        <v>30.68516876636631</v>
      </c>
      <c r="G6" s="17" t="n">
        <v>22.45256099115803</v>
      </c>
    </row>
    <row r="7">
      <c r="A7" s="15" t="inlineStr">
        <is>
          <t>1000-4999</t>
        </is>
      </c>
      <c r="B7" s="14" t="n">
        <v>30</v>
      </c>
      <c r="C7" s="17" t="n">
        <v>2.304057775121896</v>
      </c>
      <c r="D7" s="17" t="n">
        <v>7.578926455102616</v>
      </c>
      <c r="E7" s="17" t="n">
        <v>-12.90685973155691</v>
      </c>
      <c r="F7" s="17" t="n">
        <v>13.0845435619981</v>
      </c>
      <c r="G7" s="17" t="n">
        <v>29.25620526609077</v>
      </c>
    </row>
    <row r="8">
      <c r="A8" s="15" t="inlineStr">
        <is>
          <t>5000+</t>
        </is>
      </c>
      <c r="B8" s="14" t="n">
        <v>5</v>
      </c>
      <c r="C8" s="17" t="n">
        <v>10.22034098858269</v>
      </c>
      <c r="D8" s="17" t="n">
        <v>-26.05130320332367</v>
      </c>
      <c r="E8" s="17" t="n">
        <v>-26.63159846685904</v>
      </c>
      <c r="F8" s="17" t="n">
        <v>49.84581507459217</v>
      </c>
      <c r="G8" s="17" t="n">
        <v>51.74849827743528</v>
      </c>
    </row>
    <row r="11">
      <c r="A11" s="1" t="inlineStr">
        <is>
          <t>Variance by Qty Range — Excluding CD-Freight</t>
        </is>
      </c>
    </row>
    <row r="12">
      <c r="A12" s="13" t="inlineStr">
        <is>
          <t>Qty Band</t>
        </is>
      </c>
      <c r="B12" s="13" t="inlineStr">
        <is>
          <t>Count</t>
        </is>
      </c>
      <c r="C12" s="13" t="inlineStr">
        <is>
          <t>Avg Variance %</t>
        </is>
      </c>
      <c r="D12" s="13" t="inlineStr">
        <is>
          <t>Median Variance %</t>
        </is>
      </c>
      <c r="E12" s="13" t="inlineStr">
        <is>
          <t>P25</t>
        </is>
      </c>
      <c r="F12" s="13" t="inlineStr">
        <is>
          <t>P75</t>
        </is>
      </c>
      <c r="G12" s="13" t="inlineStr">
        <is>
          <t>Std Dev</t>
        </is>
      </c>
    </row>
    <row r="13">
      <c r="A13" s="15" t="inlineStr">
        <is>
          <t>1-49</t>
        </is>
      </c>
      <c r="B13" s="14" t="n">
        <v>22</v>
      </c>
      <c r="C13" s="17" t="n">
        <v>45.33899531441994</v>
      </c>
      <c r="D13" s="17" t="n">
        <v>32.72258749517896</v>
      </c>
      <c r="E13" s="17" t="n">
        <v>20.96876916036284</v>
      </c>
      <c r="F13" s="17" t="n">
        <v>57.60269454514941</v>
      </c>
      <c r="G13" s="17" t="n">
        <v>45.87564060022622</v>
      </c>
    </row>
    <row r="14">
      <c r="A14" s="15" t="inlineStr">
        <is>
          <t>50-199</t>
        </is>
      </c>
      <c r="B14" s="14" t="n">
        <v>41</v>
      </c>
      <c r="C14" s="17" t="n">
        <v>30.36229156275387</v>
      </c>
      <c r="D14" s="17" t="n">
        <v>12.65544265618433</v>
      </c>
      <c r="E14" s="17" t="n">
        <v>-1.849589135645857</v>
      </c>
      <c r="F14" s="17" t="n">
        <v>35.62451287585471</v>
      </c>
      <c r="G14" s="17" t="n">
        <v>75.45252599093563</v>
      </c>
    </row>
    <row r="15">
      <c r="A15" s="15" t="inlineStr">
        <is>
          <t>200-999</t>
        </is>
      </c>
      <c r="B15" s="14" t="n">
        <v>67</v>
      </c>
      <c r="C15" s="17" t="n">
        <v>20.36457337796076</v>
      </c>
      <c r="D15" s="17" t="n">
        <v>20.01268678771978</v>
      </c>
      <c r="E15" s="17" t="n">
        <v>7.475951393159979</v>
      </c>
      <c r="F15" s="17" t="n">
        <v>30.18241675032795</v>
      </c>
      <c r="G15" s="17" t="n">
        <v>21.78681700724941</v>
      </c>
    </row>
    <row r="16">
      <c r="A16" s="15" t="inlineStr">
        <is>
          <t>1000-4999</t>
        </is>
      </c>
      <c r="B16" s="14" t="n">
        <v>27</v>
      </c>
      <c r="C16" s="17" t="n">
        <v>3.94293881766953</v>
      </c>
      <c r="D16" s="17" t="n">
        <v>8.108483683442572</v>
      </c>
      <c r="E16" s="17" t="n">
        <v>-7.75363019005921</v>
      </c>
      <c r="F16" s="17" t="n">
        <v>15.30892287973393</v>
      </c>
      <c r="G16" s="17" t="n">
        <v>30.02609185985217</v>
      </c>
    </row>
    <row r="17">
      <c r="A17" s="15" t="inlineStr">
        <is>
          <t>5000+</t>
        </is>
      </c>
      <c r="B17" s="14" t="n">
        <v>2</v>
      </c>
      <c r="C17" s="17" t="n">
        <v>65.57995076887907</v>
      </c>
      <c r="D17" s="17" t="n">
        <v>65.57995076887907</v>
      </c>
      <c r="E17" s="17" t="n">
        <v>57.71288292173562</v>
      </c>
      <c r="F17" s="17" t="n">
        <v>73.44701861602252</v>
      </c>
      <c r="G17" s="17" t="n">
        <v>22.25142809107916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Median Variance % — Top 15 Customers × Qty Band (Quote-Total Level)</t>
        </is>
      </c>
    </row>
    <row r="3">
      <c r="A3" s="13" t="inlineStr">
        <is>
          <t>Customer</t>
        </is>
      </c>
      <c r="B3" s="13" t="inlineStr">
        <is>
          <t>1-49</t>
        </is>
      </c>
      <c r="C3" s="13" t="inlineStr">
        <is>
          <t>50-199</t>
        </is>
      </c>
      <c r="D3" s="13" t="inlineStr">
        <is>
          <t>200-999</t>
        </is>
      </c>
      <c r="E3" s="13" t="inlineStr">
        <is>
          <t>1000-4999</t>
        </is>
      </c>
      <c r="F3" s="13" t="inlineStr">
        <is>
          <t>5000+</t>
        </is>
      </c>
      <c r="G3" s="13" t="inlineStr">
        <is>
          <t>Quote Count</t>
        </is>
      </c>
    </row>
    <row r="4">
      <c r="A4" s="15" t="inlineStr">
        <is>
          <t>Apex Display Group</t>
        </is>
      </c>
      <c r="B4" s="17" t="n">
        <v>34.2748707527717</v>
      </c>
      <c r="C4" s="17" t="n">
        <v>-19.1747177115131</v>
      </c>
      <c r="D4" s="17" t="n">
        <v>23.54270046211048</v>
      </c>
      <c r="E4" s="17" t="n">
        <v>9.134866938558464</v>
      </c>
      <c r="F4" s="17" t="n"/>
      <c r="G4" s="14" t="n">
        <v>25</v>
      </c>
    </row>
    <row r="5">
      <c r="A5" s="15" t="inlineStr">
        <is>
          <t>Skybox Packaging, LLC</t>
        </is>
      </c>
      <c r="B5" s="17" t="n">
        <v>38.94091639821357</v>
      </c>
      <c r="C5" s="17" t="n">
        <v>2.960367327211211</v>
      </c>
      <c r="D5" s="17" t="n">
        <v>21.53709052520965</v>
      </c>
      <c r="E5" s="17" t="n">
        <v>-22.58781548930945</v>
      </c>
      <c r="F5" s="17" t="n"/>
      <c r="G5" s="14" t="n">
        <v>21</v>
      </c>
    </row>
    <row r="6">
      <c r="A6" s="15" t="inlineStr">
        <is>
          <t>McElroy Contract Packaging, Inc.</t>
        </is>
      </c>
      <c r="B6" s="17" t="n"/>
      <c r="C6" s="17" t="n">
        <v>34.13220472312226</v>
      </c>
      <c r="D6" s="17" t="n">
        <v>31.81931826577036</v>
      </c>
      <c r="E6" s="17" t="n">
        <v>27.91070584328644</v>
      </c>
      <c r="F6" s="17" t="n"/>
      <c r="G6" s="14" t="n">
        <v>14</v>
      </c>
    </row>
    <row r="7">
      <c r="A7" s="15" t="inlineStr">
        <is>
          <t>PCA Pennsylvania Acquisition Corporation</t>
        </is>
      </c>
      <c r="B7" s="17" t="n"/>
      <c r="C7" s="17" t="n">
        <v>3.753494963422579</v>
      </c>
      <c r="D7" s="17" t="n">
        <v>23.81321432992468</v>
      </c>
      <c r="E7" s="17" t="n">
        <v>14.04360567153324</v>
      </c>
      <c r="F7" s="17" t="n">
        <v>65.57995076887907</v>
      </c>
      <c r="G7" s="14" t="n">
        <v>13</v>
      </c>
    </row>
    <row r="8">
      <c r="A8" s="15" t="inlineStr">
        <is>
          <t>PCA - Akron</t>
        </is>
      </c>
      <c r="B8" s="17" t="n">
        <v>56.92758476349936</v>
      </c>
      <c r="C8" s="17" t="n">
        <v>32.16937561641097</v>
      </c>
      <c r="D8" s="17" t="n">
        <v>16.87258286396553</v>
      </c>
      <c r="E8" s="17" t="n">
        <v>8.108483683442572</v>
      </c>
      <c r="F8" s="17" t="n"/>
      <c r="G8" s="14" t="n">
        <v>10</v>
      </c>
    </row>
    <row r="9">
      <c r="A9" s="15" t="inlineStr">
        <is>
          <t>Massillon Container</t>
        </is>
      </c>
      <c r="B9" s="17" t="n">
        <v>-10.77085781433607</v>
      </c>
      <c r="C9" s="17" t="n">
        <v>-0.9085616063994744</v>
      </c>
      <c r="D9" s="17" t="n">
        <v>27.35576923076924</v>
      </c>
      <c r="E9" s="17" t="n"/>
      <c r="F9" s="17" t="n"/>
      <c r="G9" s="14" t="n">
        <v>8</v>
      </c>
    </row>
    <row r="10">
      <c r="A10" s="15" t="inlineStr">
        <is>
          <t>PCA - Ashland</t>
        </is>
      </c>
      <c r="B10" s="17" t="n">
        <v>26.79580696584707</v>
      </c>
      <c r="C10" s="17" t="n">
        <v>27.8076979100926</v>
      </c>
      <c r="D10" s="17" t="n">
        <v>62.80048959608324</v>
      </c>
      <c r="E10" s="17" t="n">
        <v>10.62485447917098</v>
      </c>
      <c r="F10" s="17" t="n"/>
      <c r="G10" s="14" t="n">
        <v>7</v>
      </c>
    </row>
    <row r="11">
      <c r="A11" s="15" t="inlineStr">
        <is>
          <t>BCI Knoxville Division</t>
        </is>
      </c>
      <c r="B11" s="17" t="n"/>
      <c r="C11" s="17" t="n">
        <v>2.317255854164451</v>
      </c>
      <c r="D11" s="17" t="n">
        <v>19.69745830324387</v>
      </c>
      <c r="E11" s="17" t="n"/>
      <c r="F11" s="17" t="n"/>
      <c r="G11" s="14" t="n">
        <v>6</v>
      </c>
    </row>
    <row r="12">
      <c r="A12" s="15" t="inlineStr">
        <is>
          <t>Tavens</t>
        </is>
      </c>
      <c r="B12" s="17" t="n"/>
      <c r="C12" s="17" t="n">
        <v>8.78035507207148</v>
      </c>
      <c r="D12" s="17" t="n">
        <v>-1.884904877076758</v>
      </c>
      <c r="E12" s="17" t="n"/>
      <c r="F12" s="17" t="n"/>
      <c r="G12" s="14" t="n">
        <v>5</v>
      </c>
    </row>
    <row r="13">
      <c r="A13" s="15" t="inlineStr">
        <is>
          <t>Packaging Corporation</t>
        </is>
      </c>
      <c r="B13" s="17" t="n"/>
      <c r="C13" s="17" t="n"/>
      <c r="D13" s="17" t="n"/>
      <c r="E13" s="17" t="n">
        <v>-22.76854871668291</v>
      </c>
      <c r="F13" s="17" t="n">
        <v>-26.63159846685904</v>
      </c>
      <c r="G13" s="14" t="n">
        <v>5</v>
      </c>
    </row>
    <row r="14">
      <c r="A14" s="15" t="inlineStr">
        <is>
          <t>PCA- New Oxford</t>
        </is>
      </c>
      <c r="B14" s="17" t="n">
        <v>122.4210371664149</v>
      </c>
      <c r="C14" s="17" t="n">
        <v>11.970593811219</v>
      </c>
      <c r="D14" s="17" t="n"/>
      <c r="E14" s="17" t="n"/>
      <c r="F14" s="17" t="n"/>
      <c r="G14" s="14" t="n">
        <v>5</v>
      </c>
    </row>
    <row r="15">
      <c r="A15" s="15" t="inlineStr">
        <is>
          <t>PCA / Fairfield, OH</t>
        </is>
      </c>
      <c r="B15" s="17" t="n"/>
      <c r="C15" s="17" t="n">
        <v>39.37401442309388</v>
      </c>
      <c r="D15" s="17" t="n">
        <v>34.19798276077477</v>
      </c>
      <c r="E15" s="17" t="n">
        <v>-5.530480119787563</v>
      </c>
      <c r="F15" s="17" t="n"/>
      <c r="G15" s="14" t="n">
        <v>5</v>
      </c>
    </row>
    <row r="16">
      <c r="A16" s="15" t="inlineStr">
        <is>
          <t>Weber Display &amp; Packaging</t>
        </is>
      </c>
      <c r="B16" s="17" t="n">
        <v>41.45047005974158</v>
      </c>
      <c r="C16" s="17" t="n">
        <v>23.52648234417477</v>
      </c>
      <c r="D16" s="17" t="n"/>
      <c r="E16" s="17" t="n">
        <v>-2.602053762715559</v>
      </c>
      <c r="F16" s="17" t="n"/>
      <c r="G16" s="14" t="n">
        <v>5</v>
      </c>
    </row>
    <row r="17">
      <c r="A17" s="15" t="inlineStr">
        <is>
          <t>International Paper Retail Pkg &amp; Display</t>
        </is>
      </c>
      <c r="B17" s="17" t="n">
        <v>20.61068702290077</v>
      </c>
      <c r="C17" s="17" t="n"/>
      <c r="D17" s="17" t="n"/>
      <c r="E17" s="17" t="n"/>
      <c r="F17" s="17" t="n"/>
      <c r="G17" s="14" t="n">
        <v>5</v>
      </c>
    </row>
    <row r="18">
      <c r="A18" s="15" t="inlineStr">
        <is>
          <t>BCI Tennessee Division</t>
        </is>
      </c>
      <c r="B18" s="17" t="n"/>
      <c r="C18" s="17" t="n">
        <v>4.2185790251675</v>
      </c>
      <c r="D18" s="17" t="n">
        <v>13.94048769341886</v>
      </c>
      <c r="E18" s="17" t="n"/>
      <c r="F18" s="17" t="n"/>
      <c r="G18" s="14" t="n">
        <v>4</v>
      </c>
    </row>
    <row r="22">
      <c r="A22" s="1" t="inlineStr">
        <is>
          <t>Top 15 Customers — Overall Variance (Median leads; Mean shown for context)</t>
        </is>
      </c>
    </row>
    <row r="23">
      <c r="A23" s="9" t="inlineStr">
        <is>
          <t>Customer</t>
        </is>
      </c>
      <c r="B23" s="9" t="inlineStr">
        <is>
          <t>Median Variance %</t>
        </is>
      </c>
      <c r="C23" s="9" t="inlineStr">
        <is>
          <t>Avg Variance %</t>
        </is>
      </c>
      <c r="D23" s="9" t="inlineStr">
        <is>
          <t>Min %</t>
        </is>
      </c>
      <c r="E23" s="9" t="inlineStr">
        <is>
          <t>Max %</t>
        </is>
      </c>
      <c r="F23" s="9" t="inlineStr">
        <is>
          <t>Quote Count</t>
        </is>
      </c>
    </row>
    <row r="24">
      <c r="A24" t="inlineStr">
        <is>
          <t>Apex Display Group</t>
        </is>
      </c>
      <c r="B24" s="6" t="n">
        <v>10.23090864341174</v>
      </c>
      <c r="C24" s="6" t="n">
        <v>13.72408282857755</v>
      </c>
      <c r="D24" s="6" t="n">
        <v>-46.99494062390221</v>
      </c>
      <c r="E24" s="6" t="n">
        <v>73.88562484404419</v>
      </c>
      <c r="F24" s="7" t="n">
        <v>25</v>
      </c>
    </row>
    <row r="25">
      <c r="A25" t="inlineStr">
        <is>
          <t>Skybox Packaging, LLC</t>
        </is>
      </c>
      <c r="B25" s="6" t="n">
        <v>13.71720216609844</v>
      </c>
      <c r="C25" s="6" t="n">
        <v>10.46580602207717</v>
      </c>
      <c r="D25" s="6" t="n">
        <v>-59.14340537681302</v>
      </c>
      <c r="E25" s="6" t="n">
        <v>92.22150186041269</v>
      </c>
      <c r="F25" s="7" t="n">
        <v>21</v>
      </c>
    </row>
    <row r="26">
      <c r="A26" t="inlineStr">
        <is>
          <t>McElroy Contract Packaging, Inc.</t>
        </is>
      </c>
      <c r="B26" s="6" t="n">
        <v>31.81931826577036</v>
      </c>
      <c r="C26" s="6" t="n">
        <v>35.40151033322152</v>
      </c>
      <c r="D26" s="6" t="n">
        <v>17.34705440011538</v>
      </c>
      <c r="E26" s="6" t="n">
        <v>63.74144203500531</v>
      </c>
      <c r="F26" s="7" t="n">
        <v>14</v>
      </c>
    </row>
    <row r="27">
      <c r="A27" t="inlineStr">
        <is>
          <t>PCA Pennsylvania Acquisition Corporation</t>
        </is>
      </c>
      <c r="B27" s="6" t="n">
        <v>20.55470711715886</v>
      </c>
      <c r="C27" s="6" t="n">
        <v>24.11717047531249</v>
      </c>
      <c r="D27" s="6" t="n">
        <v>0.7048749911299275</v>
      </c>
      <c r="E27" s="6" t="n">
        <v>81.31408646316598</v>
      </c>
      <c r="F27" s="7" t="n">
        <v>13</v>
      </c>
    </row>
    <row r="28">
      <c r="A28" t="inlineStr">
        <is>
          <t>PCA - Akron</t>
        </is>
      </c>
      <c r="B28" s="6" t="n">
        <v>20.62610713272247</v>
      </c>
      <c r="C28" s="6" t="n">
        <v>24.32457536914045</v>
      </c>
      <c r="D28" s="6" t="n">
        <v>8.108483683442572</v>
      </c>
      <c r="E28" s="6" t="n">
        <v>56.92758476349936</v>
      </c>
      <c r="F28" s="7" t="n">
        <v>10</v>
      </c>
    </row>
    <row r="29">
      <c r="A29" t="inlineStr">
        <is>
          <t>Massillon Container</t>
        </is>
      </c>
      <c r="B29" s="6" t="n">
        <v>0.8092089593470444</v>
      </c>
      <c r="C29" s="6" t="n">
        <v>22.66460872941541</v>
      </c>
      <c r="D29" s="6" t="n">
        <v>-22.52348631276127</v>
      </c>
      <c r="E29" s="6" t="n">
        <v>197.6430278362778</v>
      </c>
      <c r="F29" s="7" t="n">
        <v>8</v>
      </c>
    </row>
    <row r="30">
      <c r="A30" t="inlineStr">
        <is>
          <t>PCA - Ashland</t>
        </is>
      </c>
      <c r="B30" s="6" t="n">
        <v>26.79580696584707</v>
      </c>
      <c r="C30" s="6" t="n">
        <v>36.66245630866497</v>
      </c>
      <c r="D30" s="6" t="n">
        <v>4.750333173488505</v>
      </c>
      <c r="E30" s="6" t="n">
        <v>96.05031412587979</v>
      </c>
      <c r="F30" s="7" t="n">
        <v>7</v>
      </c>
    </row>
    <row r="31">
      <c r="A31" t="inlineStr">
        <is>
          <t>BCI Knoxville Division</t>
        </is>
      </c>
      <c r="B31" s="6" t="n">
        <v>17.1801596290104</v>
      </c>
      <c r="C31" s="6" t="n">
        <v>16.66868910803994</v>
      </c>
      <c r="D31" s="6" t="n">
        <v>-21.64239127255711</v>
      </c>
      <c r="E31" s="6" t="n">
        <v>49.73094775474958</v>
      </c>
      <c r="F31" s="7" t="n">
        <v>6</v>
      </c>
    </row>
    <row r="32">
      <c r="A32" t="inlineStr">
        <is>
          <t>Tavens</t>
        </is>
      </c>
      <c r="B32" s="6" t="n">
        <v>8.78035507207148</v>
      </c>
      <c r="C32" s="6" t="n">
        <v>2.467320062501777</v>
      </c>
      <c r="D32" s="6" t="n">
        <v>-15.48173445099866</v>
      </c>
      <c r="E32" s="6" t="n">
        <v>11.85013327607052</v>
      </c>
      <c r="F32" s="7" t="n">
        <v>5</v>
      </c>
    </row>
    <row r="33">
      <c r="A33" t="inlineStr">
        <is>
          <t>Packaging Corporation</t>
        </is>
      </c>
      <c r="B33" s="6" t="n">
        <v>-26.05130320332367</v>
      </c>
      <c r="C33" s="6" t="n">
        <v>-25.1190588056421</v>
      </c>
      <c r="D33" s="6" t="n">
        <v>-27.37529492466198</v>
      </c>
      <c r="E33" s="6" t="n">
        <v>-19.88996544608485</v>
      </c>
      <c r="F33" s="7" t="n">
        <v>5</v>
      </c>
    </row>
    <row r="34">
      <c r="A34" t="inlineStr">
        <is>
          <t>PCA- New Oxford</t>
        </is>
      </c>
      <c r="B34" s="6" t="n">
        <v>31.28147072718262</v>
      </c>
      <c r="C34" s="6" t="n">
        <v>138.0124084501254</v>
      </c>
      <c r="D34" s="6" t="n">
        <v>-1.849589135645857</v>
      </c>
      <c r="E34" s="6" t="n">
        <v>435.0989632422243</v>
      </c>
      <c r="F34" s="7" t="n">
        <v>5</v>
      </c>
    </row>
    <row r="35">
      <c r="A35" t="inlineStr">
        <is>
          <t>PCA / Fairfield, OH</t>
        </is>
      </c>
      <c r="B35" s="6" t="n">
        <v>26.38012480317256</v>
      </c>
      <c r="C35" s="6" t="n">
        <v>28.32270284958995</v>
      </c>
      <c r="D35" s="6" t="n">
        <v>-5.530480119787563</v>
      </c>
      <c r="E35" s="6" t="n">
        <v>52.3679040430152</v>
      </c>
      <c r="F35" s="7" t="n">
        <v>5</v>
      </c>
    </row>
    <row r="36">
      <c r="A36" t="inlineStr">
        <is>
          <t>Weber Display &amp; Packaging</t>
        </is>
      </c>
      <c r="B36" s="6" t="n">
        <v>23.52648234417477</v>
      </c>
      <c r="C36" s="6" t="n">
        <v>18.22122709822478</v>
      </c>
      <c r="D36" s="6" t="n">
        <v>-3.069886990991867</v>
      </c>
      <c r="E36" s="6" t="n">
        <v>41.45047005974158</v>
      </c>
      <c r="F36" s="7" t="n">
        <v>5</v>
      </c>
    </row>
    <row r="37">
      <c r="A37" t="inlineStr">
        <is>
          <t>International Paper Retail Pkg &amp; Display</t>
        </is>
      </c>
      <c r="B37" s="6" t="n">
        <v>20.61068702290077</v>
      </c>
      <c r="C37" s="6" t="n">
        <v>36.13415672797537</v>
      </c>
      <c r="D37" s="6" t="n">
        <v>9.498579130480984</v>
      </c>
      <c r="E37" s="6" t="n">
        <v>97.43709504312915</v>
      </c>
      <c r="F37" s="7" t="n">
        <v>5</v>
      </c>
    </row>
    <row r="38">
      <c r="A38" t="inlineStr">
        <is>
          <t>BCI Tennessee Division</t>
        </is>
      </c>
      <c r="B38" s="6" t="n">
        <v>9.611695030132362</v>
      </c>
      <c r="C38" s="6" t="n">
        <v>9.872900283309583</v>
      </c>
      <c r="D38" s="6" t="n">
        <v>4.2185790251675</v>
      </c>
      <c r="E38" s="6" t="n">
        <v>16.04963204780611</v>
      </c>
      <c r="F38" s="7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16" customWidth="1" min="8" max="8"/>
    <col width="16" customWidth="1" min="9" max="9"/>
  </cols>
  <sheetData>
    <row r="1">
      <c r="A1" s="1" t="inlineStr">
        <is>
          <t>Print vs No-Print — Component-Level</t>
        </is>
      </c>
    </row>
    <row r="2">
      <c r="A2" s="2" t="inlineStr">
        <is>
          <t>This is the ONLY component-level view — necessary because multi-part quotes mix print modes within a single quote total.</t>
        </is>
      </c>
    </row>
    <row r="4">
      <c r="A4" s="13" t="inlineStr">
        <is>
          <t>print_flag</t>
        </is>
      </c>
      <c r="B4" s="13" t="inlineStr">
        <is>
          <t>Count</t>
        </is>
      </c>
      <c r="C4" s="13" t="inlineStr">
        <is>
          <t>Avg Variance %</t>
        </is>
      </c>
      <c r="D4" s="13" t="inlineStr">
        <is>
          <t>Median Variance %</t>
        </is>
      </c>
      <c r="E4" s="13" t="inlineStr">
        <is>
          <t>P25</t>
        </is>
      </c>
      <c r="F4" s="13" t="inlineStr">
        <is>
          <t>P75</t>
        </is>
      </c>
      <c r="G4" s="13" t="inlineStr">
        <is>
          <t>Std Dev</t>
        </is>
      </c>
      <c r="H4" s="13" t="inlineStr">
        <is>
          <t>SPOT &gt; iQuote</t>
        </is>
      </c>
      <c r="I4" s="13" t="inlineStr">
        <is>
          <t>SPOT &lt; iQuote</t>
        </is>
      </c>
    </row>
    <row r="5">
      <c r="A5" s="15" t="inlineStr">
        <is>
          <t>No Print</t>
        </is>
      </c>
      <c r="B5" s="14" t="n">
        <v>52</v>
      </c>
      <c r="C5" s="17" t="n">
        <v>30.94222283155213</v>
      </c>
      <c r="D5" s="17" t="n">
        <v>5.989819758522132</v>
      </c>
      <c r="E5" s="17" t="n">
        <v>-21.31943404352238</v>
      </c>
      <c r="F5" s="17" t="n">
        <v>36.49520942599855</v>
      </c>
      <c r="G5" s="17" t="n">
        <v>104.2053322677958</v>
      </c>
      <c r="H5" s="14" t="n">
        <v>29</v>
      </c>
      <c r="I5" s="14" t="n">
        <v>23</v>
      </c>
    </row>
    <row r="6">
      <c r="A6" s="15" t="inlineStr">
        <is>
          <t>Print</t>
        </is>
      </c>
      <c r="B6" s="14" t="n">
        <v>271</v>
      </c>
      <c r="C6" s="17" t="n">
        <v>43.9184102207144</v>
      </c>
      <c r="D6" s="17" t="n">
        <v>20.61068702290077</v>
      </c>
      <c r="E6" s="17" t="n">
        <v>4.029326486608156</v>
      </c>
      <c r="F6" s="17" t="n">
        <v>38.97571449066439</v>
      </c>
      <c r="G6" s="17" t="n">
        <v>189.5418301364464</v>
      </c>
      <c r="H6" s="14" t="n">
        <v>211</v>
      </c>
      <c r="I6" s="14" t="n">
        <v>60</v>
      </c>
    </row>
    <row r="8">
      <c r="A8" s="1" t="inlineStr">
        <is>
          <t>Detail by Print Mode (component-level)</t>
        </is>
      </c>
    </row>
    <row r="9">
      <c r="A9" s="13" t="inlineStr">
        <is>
          <t>Print Mode</t>
        </is>
      </c>
      <c r="B9" s="13" t="inlineStr">
        <is>
          <t>Count</t>
        </is>
      </c>
      <c r="C9" s="13" t="inlineStr">
        <is>
          <t>Avg Variance %</t>
        </is>
      </c>
      <c r="D9" s="13" t="inlineStr">
        <is>
          <t>Median Variance %</t>
        </is>
      </c>
      <c r="E9" s="13" t="inlineStr">
        <is>
          <t>P25</t>
        </is>
      </c>
      <c r="F9" s="13" t="inlineStr">
        <is>
          <t>P75</t>
        </is>
      </c>
      <c r="G9" s="13" t="inlineStr">
        <is>
          <t>Std Dev</t>
        </is>
      </c>
      <c r="H9" s="13" t="inlineStr">
        <is>
          <t>SPOT &gt; iQuote</t>
        </is>
      </c>
      <c r="I9" s="13" t="inlineStr">
        <is>
          <t>SPOT &lt; iQuote</t>
        </is>
      </c>
    </row>
    <row r="10">
      <c r="A10" s="15" t="inlineStr">
        <is>
          <t>Gloss</t>
        </is>
      </c>
      <c r="B10" s="14" t="n">
        <v>135</v>
      </c>
      <c r="C10" s="17" t="n">
        <v>25.50999299819243</v>
      </c>
      <c r="D10" s="17" t="n">
        <v>20.55470711715886</v>
      </c>
      <c r="E10" s="17" t="n">
        <v>4.85493317306925</v>
      </c>
      <c r="F10" s="17" t="n">
        <v>34.99743045293108</v>
      </c>
      <c r="G10" s="17" t="n">
        <v>57.01149760310057</v>
      </c>
      <c r="H10" s="14" t="n">
        <v>110</v>
      </c>
      <c r="I10" s="14" t="n">
        <v>25</v>
      </c>
    </row>
    <row r="11">
      <c r="A11" s="15" t="inlineStr">
        <is>
          <t>None</t>
        </is>
      </c>
      <c r="B11" s="14" t="n">
        <v>52</v>
      </c>
      <c r="C11" s="17" t="n">
        <v>30.94222283155213</v>
      </c>
      <c r="D11" s="17" t="n">
        <v>5.989819758522132</v>
      </c>
      <c r="E11" s="17" t="n">
        <v>-21.31943404352238</v>
      </c>
      <c r="F11" s="17" t="n">
        <v>36.49520942599855</v>
      </c>
      <c r="G11" s="17" t="n">
        <v>104.2053322677958</v>
      </c>
      <c r="H11" s="14" t="n">
        <v>29</v>
      </c>
      <c r="I11" s="14" t="n">
        <v>23</v>
      </c>
    </row>
    <row r="12">
      <c r="A12" s="15" t="inlineStr">
        <is>
          <t>Satin</t>
        </is>
      </c>
      <c r="B12" s="14" t="n">
        <v>136</v>
      </c>
      <c r="C12" s="17" t="n">
        <v>62.19147143424725</v>
      </c>
      <c r="D12" s="17" t="n">
        <v>21.22544770141668</v>
      </c>
      <c r="E12" s="17" t="n">
        <v>-4.120548905026301</v>
      </c>
      <c r="F12" s="17" t="n">
        <v>42.61264135746693</v>
      </c>
      <c r="G12" s="17" t="n">
        <v>260.67360491876</v>
      </c>
      <c r="H12" s="14" t="n">
        <v>101</v>
      </c>
      <c r="I12" s="14" t="n">
        <v>35</v>
      </c>
    </row>
    <row r="14">
      <c r="A14" s="1" t="inlineStr">
        <is>
          <t>Cross-check: Quote-Level Print/No-Print (all-print vs any-no-print)</t>
        </is>
      </c>
    </row>
    <row r="15">
      <c r="A15" s="13" t="inlineStr">
        <is>
          <t>Print/No-Print</t>
        </is>
      </c>
      <c r="B15" s="13" t="inlineStr">
        <is>
          <t>Count</t>
        </is>
      </c>
      <c r="C15" s="13" t="inlineStr">
        <is>
          <t>Avg Variance %</t>
        </is>
      </c>
      <c r="D15" s="13" t="inlineStr">
        <is>
          <t>Median Variance %</t>
        </is>
      </c>
      <c r="E15" s="13" t="inlineStr">
        <is>
          <t>P25</t>
        </is>
      </c>
      <c r="F15" s="13" t="inlineStr">
        <is>
          <t>P75</t>
        </is>
      </c>
      <c r="G15" s="13" t="inlineStr">
        <is>
          <t>Std Dev</t>
        </is>
      </c>
      <c r="H15" s="13" t="inlineStr">
        <is>
          <t>SPOT &gt; iQuote</t>
        </is>
      </c>
      <c r="I15" s="13" t="inlineStr">
        <is>
          <t>SPOT &lt; iQuote</t>
        </is>
      </c>
    </row>
    <row r="16">
      <c r="A16" s="15" t="inlineStr">
        <is>
          <t>No Print</t>
        </is>
      </c>
      <c r="B16" s="14" t="n">
        <v>17</v>
      </c>
      <c r="C16" s="17" t="n">
        <v>59.38139020000523</v>
      </c>
      <c r="D16" s="17" t="n">
        <v>26.34415076163524</v>
      </c>
      <c r="E16" s="17" t="n">
        <v>12.38927573303016</v>
      </c>
      <c r="F16" s="17" t="n">
        <v>49.84581507459217</v>
      </c>
      <c r="G16" s="17" t="n">
        <v>109.9463690327372</v>
      </c>
      <c r="H16" s="14" t="n">
        <v>16</v>
      </c>
      <c r="I16" s="14" t="n">
        <v>1</v>
      </c>
    </row>
    <row r="17">
      <c r="A17" s="15" t="inlineStr">
        <is>
          <t>Print</t>
        </is>
      </c>
      <c r="B17" s="14" t="n">
        <v>155</v>
      </c>
      <c r="C17" s="17" t="n">
        <v>18.60237556466063</v>
      </c>
      <c r="D17" s="17" t="n">
        <v>17.34705440011538</v>
      </c>
      <c r="E17" s="17" t="n">
        <v>3.480826396988768</v>
      </c>
      <c r="F17" s="17" t="n">
        <v>31.67028307774642</v>
      </c>
      <c r="G17" s="17" t="n">
        <v>31.44241734457662</v>
      </c>
      <c r="H17" s="14" t="n">
        <v>119</v>
      </c>
      <c r="I17" s="14" t="n">
        <v>36</v>
      </c>
    </row>
  </sheetData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42" customWidth="1" min="4" max="4"/>
    <col width="22" customWidth="1" min="5" max="5"/>
    <col width="24" customWidth="1" min="6" max="6"/>
  </cols>
  <sheetData>
    <row r="1">
      <c r="A1" s="1" t="inlineStr">
        <is>
          <t>Distribution of Variance % — Quote-Total Level</t>
        </is>
      </c>
    </row>
    <row r="2">
      <c r="A2" s="2" t="inlineStr">
        <is>
          <t>Mean = 22.63%  |  Std Dev = 46.59%  |  n = 172</t>
        </is>
      </c>
    </row>
    <row r="4">
      <c r="A4" s="13" t="inlineStr">
        <is>
          <t>Rank</t>
        </is>
      </c>
      <c r="B4" s="13" t="inlineStr">
        <is>
          <t>iQuote Estimate #</t>
        </is>
      </c>
      <c r="C4" s="13" t="inlineStr">
        <is>
          <t>SPOT Estimate #</t>
        </is>
      </c>
      <c r="D4" s="13" t="inlineStr">
        <is>
          <t>Customer</t>
        </is>
      </c>
      <c r="E4" s="13" t="inlineStr">
        <is>
          <t>Variance %</t>
        </is>
      </c>
      <c r="F4" s="13" t="inlineStr">
        <is>
          <t>Z-Score</t>
        </is>
      </c>
    </row>
    <row r="5">
      <c r="A5" s="14" t="n">
        <v>1</v>
      </c>
      <c r="B5" s="14" t="n">
        <v>223864</v>
      </c>
      <c r="C5" s="15" t="inlineStr">
        <is>
          <t>CS-260803-133009</t>
        </is>
      </c>
      <c r="D5" s="15" t="inlineStr">
        <is>
          <t>Skybox Packaging, LLC</t>
        </is>
      </c>
      <c r="E5" s="17" t="n">
        <v>-59.14340537681302</v>
      </c>
      <c r="F5" s="18" t="n">
        <v>-1.755331740967079</v>
      </c>
    </row>
    <row r="6">
      <c r="A6" s="14" t="n">
        <v>2</v>
      </c>
      <c r="B6" s="14" t="n">
        <v>223864</v>
      </c>
      <c r="C6" s="15" t="inlineStr">
        <is>
          <t>CS-260803-133009</t>
        </is>
      </c>
      <c r="D6" s="15" t="inlineStr">
        <is>
          <t>Skybox Packaging, LLC</t>
        </is>
      </c>
      <c r="E6" s="17" t="n">
        <v>-57.23277854530377</v>
      </c>
      <c r="F6" s="18" t="n">
        <v>-1.714320037574892</v>
      </c>
    </row>
    <row r="7">
      <c r="A7" s="14" t="n">
        <v>3</v>
      </c>
      <c r="B7" s="14" t="n">
        <v>222738</v>
      </c>
      <c r="C7" s="15" t="inlineStr">
        <is>
          <t>RW-260806-130832</t>
        </is>
      </c>
      <c r="D7" s="15" t="inlineStr">
        <is>
          <t>Apex Display Group</t>
        </is>
      </c>
      <c r="E7" s="17" t="n">
        <v>-46.99494062390221</v>
      </c>
      <c r="F7" s="18" t="n">
        <v>-1.494564319040292</v>
      </c>
    </row>
    <row r="8">
      <c r="A8" s="14" t="n">
        <v>4</v>
      </c>
      <c r="B8" s="14" t="n">
        <v>222738</v>
      </c>
      <c r="C8" s="15" t="inlineStr">
        <is>
          <t>RW-260806-130832</t>
        </is>
      </c>
      <c r="D8" s="15" t="inlineStr">
        <is>
          <t>Apex Display Group</t>
        </is>
      </c>
      <c r="E8" s="17" t="n">
        <v>-39.46697185829989</v>
      </c>
      <c r="F8" s="18" t="n">
        <v>-1.332976081573402</v>
      </c>
    </row>
    <row r="9">
      <c r="A9" s="14" t="n">
        <v>5</v>
      </c>
      <c r="B9" s="14" t="n">
        <v>223707</v>
      </c>
      <c r="C9" s="15" t="inlineStr">
        <is>
          <t>RW-260720-112723</t>
        </is>
      </c>
      <c r="D9" s="15" t="inlineStr">
        <is>
          <t>PCA - Burlington</t>
        </is>
      </c>
      <c r="E9" s="17" t="n">
        <v>-33.36974824873798</v>
      </c>
      <c r="F9" s="18" t="n">
        <v>-1.202098862606649</v>
      </c>
    </row>
    <row r="10">
      <c r="A10" s="14" t="n">
        <v>6</v>
      </c>
      <c r="B10" s="14" t="n">
        <v>223389</v>
      </c>
      <c r="C10" s="15" t="inlineStr">
        <is>
          <t>RW-260629-132636</t>
        </is>
      </c>
      <c r="D10" s="15" t="inlineStr">
        <is>
          <t>Skybox Packaging, LLC</t>
        </is>
      </c>
      <c r="E10" s="17" t="n">
        <v>-31.29207808998662</v>
      </c>
      <c r="F10" s="18" t="n">
        <v>-1.157501565587534</v>
      </c>
    </row>
    <row r="11">
      <c r="A11" s="14" t="n">
        <v>7</v>
      </c>
      <c r="B11" s="14" t="n">
        <v>224297</v>
      </c>
      <c r="C11" s="15" t="inlineStr">
        <is>
          <t>CD-260820-151955</t>
        </is>
      </c>
      <c r="D11" s="15" t="inlineStr">
        <is>
          <t>Packaging Corporation</t>
        </is>
      </c>
      <c r="E11" s="17" t="n">
        <v>-27.37529492466198</v>
      </c>
      <c r="F11" s="18" t="n">
        <v>-1.073427613113562</v>
      </c>
    </row>
    <row r="12">
      <c r="A12" s="14" t="n">
        <v>8</v>
      </c>
      <c r="B12" s="14" t="n">
        <v>224297</v>
      </c>
      <c r="C12" s="15" t="inlineStr">
        <is>
          <t>CD-260820-151955</t>
        </is>
      </c>
      <c r="D12" s="15" t="inlineStr">
        <is>
          <t>Packaging Corporation</t>
        </is>
      </c>
      <c r="E12" s="17" t="n">
        <v>-26.63159846685904</v>
      </c>
      <c r="F12" s="18" t="n">
        <v>-1.057464130324439</v>
      </c>
    </row>
    <row r="13">
      <c r="A13" s="14" t="n">
        <v>9</v>
      </c>
      <c r="B13" s="14" t="n">
        <v>222247</v>
      </c>
      <c r="C13" s="15" t="inlineStr">
        <is>
          <t>RW-260804-170630</t>
        </is>
      </c>
      <c r="D13" s="15" t="inlineStr">
        <is>
          <t>BCI-Houston Division</t>
        </is>
      </c>
      <c r="E13" s="17" t="n">
        <v>-26.32848205055753</v>
      </c>
      <c r="F13" s="18" t="n">
        <v>-1.050957720829059</v>
      </c>
    </row>
    <row r="14">
      <c r="A14" s="14" t="n">
        <v>10</v>
      </c>
      <c r="B14" s="14" t="n">
        <v>224297</v>
      </c>
      <c r="C14" s="15" t="inlineStr">
        <is>
          <t>CD-260820-151955</t>
        </is>
      </c>
      <c r="D14" s="15" t="inlineStr">
        <is>
          <t>Packaging Corporation</t>
        </is>
      </c>
      <c r="E14" s="17" t="n">
        <v>-26.05130320332367</v>
      </c>
      <c r="F14" s="18" t="n">
        <v>-1.045008062590269</v>
      </c>
    </row>
    <row r="15">
      <c r="A15" s="14" t="n">
        <v>11</v>
      </c>
      <c r="B15" s="14" t="n">
        <v>224297</v>
      </c>
      <c r="C15" s="15" t="inlineStr">
        <is>
          <t>CD-260820-151955</t>
        </is>
      </c>
      <c r="D15" s="15" t="inlineStr">
        <is>
          <t>Packaging Corporation</t>
        </is>
      </c>
      <c r="E15" s="17" t="n">
        <v>-25.64713198728098</v>
      </c>
      <c r="F15" s="18" t="n">
        <v>-1.03633250661113</v>
      </c>
    </row>
    <row r="16">
      <c r="A16" s="14" t="n">
        <v>12</v>
      </c>
      <c r="B16" s="14" t="n">
        <v>222738</v>
      </c>
      <c r="C16" s="15" t="inlineStr">
        <is>
          <t>RW-260806-130832</t>
        </is>
      </c>
      <c r="D16" s="15" t="inlineStr">
        <is>
          <t>Apex Display Group</t>
        </is>
      </c>
      <c r="E16" s="17" t="n">
        <v>-23.74494544899672</v>
      </c>
      <c r="F16" s="18" t="n">
        <v>-0.995501974547943</v>
      </c>
    </row>
    <row r="17">
      <c r="A17" s="14" t="n">
        <v>13</v>
      </c>
      <c r="B17" s="14" t="n">
        <v>223057</v>
      </c>
      <c r="C17" s="15" t="inlineStr">
        <is>
          <t>RW-260807-082050</t>
        </is>
      </c>
      <c r="D17" s="15" t="inlineStr">
        <is>
          <t>Massillon Container</t>
        </is>
      </c>
      <c r="E17" s="17" t="n">
        <v>-22.52348631276127</v>
      </c>
      <c r="F17" s="18" t="n">
        <v>-0.9692832912473457</v>
      </c>
    </row>
    <row r="18">
      <c r="A18" s="14" t="n">
        <v>14</v>
      </c>
      <c r="B18" s="14" t="n">
        <v>223911</v>
      </c>
      <c r="C18" s="15" t="inlineStr">
        <is>
          <t>RW-260730-164119</t>
        </is>
      </c>
      <c r="D18" s="15" t="inlineStr">
        <is>
          <t>Compass Packaging</t>
        </is>
      </c>
      <c r="E18" s="17" t="n">
        <v>-22.0151694884791</v>
      </c>
      <c r="F18" s="18" t="n">
        <v>-0.9583722444207652</v>
      </c>
    </row>
    <row r="19">
      <c r="A19" s="14" t="n">
        <v>15</v>
      </c>
      <c r="B19" s="14" t="n">
        <v>224032</v>
      </c>
      <c r="C19" s="15" t="inlineStr">
        <is>
          <t>RW-260819-085031</t>
        </is>
      </c>
      <c r="D19" s="15" t="inlineStr">
        <is>
          <t>BCI Knoxville Division</t>
        </is>
      </c>
      <c r="E19" s="17" t="n">
        <v>-21.64239127255711</v>
      </c>
      <c r="F19" s="18" t="n">
        <v>-0.9503705408068865</v>
      </c>
    </row>
    <row r="20">
      <c r="A20" s="14" t="n">
        <v>16</v>
      </c>
      <c r="B20" s="14" t="n">
        <v>223057</v>
      </c>
      <c r="C20" s="15" t="inlineStr">
        <is>
          <t>RW-260807-082050</t>
        </is>
      </c>
      <c r="D20" s="15" t="inlineStr">
        <is>
          <t>Massillon Container</t>
        </is>
      </c>
      <c r="E20" s="17" t="n">
        <v>-21.22590254801177</v>
      </c>
      <c r="F20" s="18" t="n">
        <v>-0.9414305888730226</v>
      </c>
    </row>
    <row r="21">
      <c r="A21" s="14" t="n">
        <v>17</v>
      </c>
      <c r="B21" s="14" t="n">
        <v>224297</v>
      </c>
      <c r="C21" s="15" t="inlineStr">
        <is>
          <t>CD-260820-151955</t>
        </is>
      </c>
      <c r="D21" s="15" t="inlineStr">
        <is>
          <t>Packaging Corporation</t>
        </is>
      </c>
      <c r="E21" s="17" t="n">
        <v>-19.88996544608485</v>
      </c>
      <c r="F21" s="18" t="n">
        <v>-0.9127546301398538</v>
      </c>
    </row>
    <row r="22">
      <c r="A22" s="14" t="n">
        <v>18</v>
      </c>
      <c r="B22" s="14" t="n">
        <v>224399</v>
      </c>
      <c r="C22" s="15" t="inlineStr">
        <is>
          <t>CD-260825-104135</t>
        </is>
      </c>
      <c r="D22" s="15" t="inlineStr">
        <is>
          <t>BCI Buckeye Division</t>
        </is>
      </c>
      <c r="E22" s="17" t="n">
        <v>-19.76276789815263</v>
      </c>
      <c r="F22" s="18" t="n">
        <v>-0.9100243282190495</v>
      </c>
    </row>
    <row r="23">
      <c r="A23" s="14" t="n">
        <v>19</v>
      </c>
      <c r="B23" s="14" t="n">
        <v>223701</v>
      </c>
      <c r="C23" s="15" t="inlineStr">
        <is>
          <t>RW-260720-133223</t>
        </is>
      </c>
      <c r="D23" s="15" t="inlineStr">
        <is>
          <t>Tavens</t>
        </is>
      </c>
      <c r="E23" s="17" t="n">
        <v>-15.48173445099866</v>
      </c>
      <c r="F23" s="18" t="n">
        <v>-0.818131724675939</v>
      </c>
    </row>
    <row r="24">
      <c r="A24" s="14" t="n">
        <v>20</v>
      </c>
      <c r="B24" s="14" t="n">
        <v>222738</v>
      </c>
      <c r="C24" s="15" t="inlineStr">
        <is>
          <t>RW-260806-130832</t>
        </is>
      </c>
      <c r="D24" s="15" t="inlineStr">
        <is>
          <t>Apex Display Group</t>
        </is>
      </c>
      <c r="E24" s="17" t="n">
        <v>-14.60448997402949</v>
      </c>
      <c r="F24" s="18" t="n">
        <v>-0.7993016267737368</v>
      </c>
    </row>
    <row r="25">
      <c r="A25" s="14" t="n">
        <v>21</v>
      </c>
      <c r="B25" s="14" t="n">
        <v>223057</v>
      </c>
      <c r="C25" s="15" t="inlineStr">
        <is>
          <t>RW-260807-082050</t>
        </is>
      </c>
      <c r="D25" s="15" t="inlineStr">
        <is>
          <t>Massillon Container</t>
        </is>
      </c>
      <c r="E25" s="17" t="n">
        <v>-14.20639894582911</v>
      </c>
      <c r="F25" s="18" t="n">
        <v>-0.7907565823399433</v>
      </c>
    </row>
    <row r="26">
      <c r="A26" s="14" t="n">
        <v>22</v>
      </c>
      <c r="B26" s="14" t="n">
        <v>223878</v>
      </c>
      <c r="C26" s="15" t="inlineStr">
        <is>
          <t>RW-260731-113050</t>
        </is>
      </c>
      <c r="D26" s="15" t="inlineStr">
        <is>
          <t>Skybox Packaging, LLC</t>
        </is>
      </c>
      <c r="E26" s="17" t="n">
        <v>-13.9796842320053</v>
      </c>
      <c r="F26" s="18" t="n">
        <v>-0.7858901393251961</v>
      </c>
    </row>
    <row r="27">
      <c r="A27" s="14" t="n">
        <v>23</v>
      </c>
      <c r="B27" s="14" t="n">
        <v>223864</v>
      </c>
      <c r="C27" s="15" t="inlineStr">
        <is>
          <t>CS-260803-133009</t>
        </is>
      </c>
      <c r="D27" s="15" t="inlineStr">
        <is>
          <t>Skybox Packaging, LLC</t>
        </is>
      </c>
      <c r="E27" s="17" t="n">
        <v>-13.88355288863226</v>
      </c>
      <c r="F27" s="18" t="n">
        <v>-0.7838266750860842</v>
      </c>
    </row>
    <row r="28">
      <c r="A28" s="14" t="n">
        <v>24</v>
      </c>
      <c r="B28" s="14" t="n">
        <v>223057</v>
      </c>
      <c r="C28" s="15" t="inlineStr">
        <is>
          <t>RW-260807-082050</t>
        </is>
      </c>
      <c r="D28" s="15" t="inlineStr">
        <is>
          <t>Massillon Container</t>
        </is>
      </c>
      <c r="E28" s="17" t="n">
        <v>-10.77085781433607</v>
      </c>
      <c r="F28" s="18" t="n">
        <v>-0.7170125149203773</v>
      </c>
    </row>
    <row r="29">
      <c r="A29" s="14" t="n">
        <v>25</v>
      </c>
      <c r="B29" s="14" t="n">
        <v>222247</v>
      </c>
      <c r="C29" s="15" t="inlineStr">
        <is>
          <t>RW-260804-170630</t>
        </is>
      </c>
      <c r="D29" s="15" t="inlineStr">
        <is>
          <t>BCI-Houston Division</t>
        </is>
      </c>
      <c r="E29" s="17" t="n">
        <v>-10.68500267985082</v>
      </c>
      <c r="F29" s="18" t="n">
        <v>-0.7151696300345705</v>
      </c>
    </row>
    <row r="30">
      <c r="A30" s="14" t="n">
        <v>26</v>
      </c>
      <c r="B30" s="14" t="n">
        <v>222493</v>
      </c>
      <c r="C30" s="15" t="inlineStr">
        <is>
          <t>RW-260806-104054</t>
        </is>
      </c>
      <c r="D30" s="15" t="inlineStr">
        <is>
          <t>Abracadabra Experiences, LLC</t>
        </is>
      </c>
      <c r="E30" s="17" t="n">
        <v>-10.20237395359575</v>
      </c>
      <c r="F30" s="18" t="n">
        <v>-0.7048099795558391</v>
      </c>
    </row>
    <row r="31">
      <c r="A31" s="14" t="n">
        <v>27</v>
      </c>
      <c r="B31" s="14" t="n">
        <v>223911</v>
      </c>
      <c r="C31" s="15" t="inlineStr">
        <is>
          <t>RW-260730-164119</t>
        </is>
      </c>
      <c r="D31" s="15" t="inlineStr">
        <is>
          <t>Compass Packaging</t>
        </is>
      </c>
      <c r="E31" s="17" t="n">
        <v>-9.976780260330857</v>
      </c>
      <c r="F31" s="18" t="n">
        <v>-0.699967599305155</v>
      </c>
    </row>
    <row r="32">
      <c r="A32" s="14" t="n">
        <v>28</v>
      </c>
      <c r="B32" s="14" t="n">
        <v>223538</v>
      </c>
      <c r="C32" s="15" t="inlineStr">
        <is>
          <t>RW-260727-093930</t>
        </is>
      </c>
      <c r="D32" s="15" t="inlineStr">
        <is>
          <t>PCA - New Oxford</t>
        </is>
      </c>
      <c r="E32" s="17" t="n">
        <v>-5.59235318632015</v>
      </c>
      <c r="F32" s="18" t="n">
        <v>-0.6058556462337321</v>
      </c>
    </row>
    <row r="33">
      <c r="A33" s="14" t="n">
        <v>29</v>
      </c>
      <c r="B33" s="14" t="n">
        <v>223199</v>
      </c>
      <c r="C33" s="15" t="inlineStr">
        <is>
          <t>RW-260807-135507</t>
        </is>
      </c>
      <c r="D33" s="15" t="inlineStr">
        <is>
          <t>PCA / Fairfield, OH</t>
        </is>
      </c>
      <c r="E33" s="17" t="n">
        <v>-5.530480119787563</v>
      </c>
      <c r="F33" s="18" t="n">
        <v>-0.6045275376723156</v>
      </c>
    </row>
    <row r="34">
      <c r="A34" s="14" t="n">
        <v>30</v>
      </c>
      <c r="B34" s="14" t="n">
        <v>223701</v>
      </c>
      <c r="C34" s="15" t="inlineStr">
        <is>
          <t>RW-260720-133223</t>
        </is>
      </c>
      <c r="D34" s="15" t="inlineStr">
        <is>
          <t>Tavens</t>
        </is>
      </c>
      <c r="E34" s="17" t="n">
        <v>-4.524078281479601</v>
      </c>
      <c r="F34" s="18" t="n">
        <v>-0.5829250703535488</v>
      </c>
    </row>
    <row r="35">
      <c r="A35" s="14" t="n">
        <v>31</v>
      </c>
      <c r="B35" s="14" t="n">
        <v>223207</v>
      </c>
      <c r="C35" s="15" t="inlineStr">
        <is>
          <t>RW-260623-091031</t>
        </is>
      </c>
      <c r="D35" s="15" t="inlineStr">
        <is>
          <t>Skybox Packaging, LLC</t>
        </is>
      </c>
      <c r="E35" s="17" t="n">
        <v>-4.034629474479658</v>
      </c>
      <c r="F35" s="18" t="n">
        <v>-0.5724190264901927</v>
      </c>
    </row>
    <row r="36">
      <c r="A36" s="14" t="n">
        <v>32</v>
      </c>
      <c r="B36" s="14" t="n">
        <v>222817</v>
      </c>
      <c r="C36" s="15" t="inlineStr">
        <is>
          <t>RW-260806-160530</t>
        </is>
      </c>
      <c r="D36" s="15" t="inlineStr">
        <is>
          <t>Weber Display &amp; Packaging</t>
        </is>
      </c>
      <c r="E36" s="17" t="n">
        <v>-3.069886990991867</v>
      </c>
      <c r="F36" s="18" t="n">
        <v>-0.551710779369331</v>
      </c>
    </row>
    <row r="37">
      <c r="A37" s="14" t="n">
        <v>33</v>
      </c>
      <c r="B37" s="14" t="n">
        <v>222515</v>
      </c>
      <c r="C37" s="15" t="inlineStr">
        <is>
          <t>RW-260806-104713</t>
        </is>
      </c>
      <c r="D37" s="15" t="inlineStr">
        <is>
          <t>Weber Display &amp; Packaging</t>
        </is>
      </c>
      <c r="E37" s="17" t="n">
        <v>-2.602053762715559</v>
      </c>
      <c r="F37" s="18" t="n">
        <v>-0.5416687150171199</v>
      </c>
    </row>
    <row r="38">
      <c r="A38" s="14" t="n">
        <v>34</v>
      </c>
      <c r="B38" s="14" t="n">
        <v>222085</v>
      </c>
      <c r="C38" s="15" t="inlineStr">
        <is>
          <t>RW-260622-133707</t>
        </is>
      </c>
      <c r="D38" s="15" t="inlineStr">
        <is>
          <t>Packaging Corporation of America</t>
        </is>
      </c>
      <c r="E38" s="17" t="n">
        <v>-2.30499096504636</v>
      </c>
      <c r="F38" s="18" t="n">
        <v>-0.5352922467576227</v>
      </c>
    </row>
    <row r="39">
      <c r="A39" s="14" t="n">
        <v>35</v>
      </c>
      <c r="B39" s="14" t="n">
        <v>224044</v>
      </c>
      <c r="C39" s="15" t="inlineStr">
        <is>
          <t>RW-260819-090831</t>
        </is>
      </c>
      <c r="D39" s="15" t="inlineStr">
        <is>
          <t>PCA- New Oxford</t>
        </is>
      </c>
      <c r="E39" s="17" t="n">
        <v>-1.849589135645857</v>
      </c>
      <c r="F39" s="18" t="n">
        <v>-0.5255170230228657</v>
      </c>
    </row>
    <row r="40">
      <c r="A40" s="14" t="n">
        <v>36</v>
      </c>
      <c r="B40" s="14" t="n">
        <v>224446</v>
      </c>
      <c r="C40" s="15" t="inlineStr">
        <is>
          <t>CS-260826-115130</t>
        </is>
      </c>
      <c r="D40" s="15" t="inlineStr">
        <is>
          <t>Apex Display Group</t>
        </is>
      </c>
      <c r="E40" s="17" t="n">
        <v>-0.35401091129522</v>
      </c>
      <c r="F40" s="18" t="n">
        <v>-0.4934143593706283</v>
      </c>
    </row>
    <row r="41">
      <c r="A41" s="14" t="n">
        <v>37</v>
      </c>
      <c r="B41" s="14" t="n">
        <v>223313</v>
      </c>
      <c r="C41" s="15" t="inlineStr">
        <is>
          <t>RW-260807-135919</t>
        </is>
      </c>
      <c r="D41" s="15" t="inlineStr">
        <is>
          <t>BCI- Syracuse</t>
        </is>
      </c>
      <c r="E41" s="17" t="n">
        <v>-0.2414338578578431</v>
      </c>
      <c r="F41" s="18" t="n">
        <v>-0.4909978871175443</v>
      </c>
    </row>
    <row r="42">
      <c r="A42" s="14" t="n">
        <v>38</v>
      </c>
      <c r="B42" s="14" t="n">
        <v>224374</v>
      </c>
      <c r="C42" s="15" t="inlineStr">
        <is>
          <t>RW-260826-105417</t>
        </is>
      </c>
      <c r="D42" s="15" t="inlineStr">
        <is>
          <t>PCA Pennsylvania Acquisition Corporation</t>
        </is>
      </c>
      <c r="E42" s="17" t="n">
        <v>0.7048749911299275</v>
      </c>
      <c r="F42" s="18" t="n">
        <v>-0.4706853189111033</v>
      </c>
    </row>
    <row r="43">
      <c r="A43" s="14" t="n">
        <v>39</v>
      </c>
      <c r="B43" s="14" t="n">
        <v>223651</v>
      </c>
      <c r="C43" s="15" t="inlineStr">
        <is>
          <t>RW-260724-113737</t>
        </is>
      </c>
      <c r="D43" s="15" t="inlineStr">
        <is>
          <t>Apex Display Group</t>
        </is>
      </c>
      <c r="E43" s="17" t="n">
        <v>1.417190133292473</v>
      </c>
      <c r="F43" s="18" t="n">
        <v>-0.4553954376792683</v>
      </c>
    </row>
    <row r="44">
      <c r="A44" s="14" t="n">
        <v>40</v>
      </c>
      <c r="B44" s="14" t="n">
        <v>223488</v>
      </c>
      <c r="C44" s="15" t="inlineStr">
        <is>
          <t>RW-260706-094426</t>
        </is>
      </c>
      <c r="D44" s="15" t="inlineStr">
        <is>
          <t>Skybox Packaging, LLC</t>
        </is>
      </c>
      <c r="E44" s="17" t="n">
        <v>2.429248031502926</v>
      </c>
      <c r="F44" s="18" t="n">
        <v>-0.43367156274324</v>
      </c>
    </row>
    <row r="45">
      <c r="A45" s="14" t="n">
        <v>41</v>
      </c>
      <c r="B45" s="14" t="n">
        <v>223486</v>
      </c>
      <c r="C45" s="15" t="inlineStr">
        <is>
          <t>RW-260727-095102</t>
        </is>
      </c>
      <c r="D45" s="15" t="inlineStr">
        <is>
          <t>Skybox Packaging, LLC</t>
        </is>
      </c>
      <c r="E45" s="17" t="n">
        <v>2.960367327211211</v>
      </c>
      <c r="F45" s="18" t="n">
        <v>-0.4222710596924957</v>
      </c>
    </row>
    <row r="46">
      <c r="A46" s="14" t="n">
        <v>42</v>
      </c>
      <c r="B46" s="14" t="n">
        <v>223498</v>
      </c>
      <c r="C46" s="15" t="inlineStr">
        <is>
          <t>RW-260706-110912</t>
        </is>
      </c>
      <c r="D46" s="15" t="inlineStr">
        <is>
          <t>Apex Display Group</t>
        </is>
      </c>
      <c r="E46" s="17" t="n">
        <v>3.208157830554956</v>
      </c>
      <c r="F46" s="18" t="n">
        <v>-0.4169522237696761</v>
      </c>
    </row>
    <row r="47">
      <c r="A47" s="14" t="n">
        <v>43</v>
      </c>
      <c r="B47" s="14" t="n">
        <v>222548</v>
      </c>
      <c r="C47" s="15" t="inlineStr">
        <is>
          <t>RW-260806-110857</t>
        </is>
      </c>
      <c r="D47" s="15" t="inlineStr">
        <is>
          <t>PCA Pennsylvania Acquisition Corporation</t>
        </is>
      </c>
      <c r="E47" s="17" t="n">
        <v>3.753494963422579</v>
      </c>
      <c r="F47" s="18" t="n">
        <v>-0.4052465341116671</v>
      </c>
    </row>
    <row r="48">
      <c r="A48" s="14" t="n">
        <v>44</v>
      </c>
      <c r="B48" s="14" t="n">
        <v>224446</v>
      </c>
      <c r="C48" s="15" t="inlineStr">
        <is>
          <t>CS-260826-115130</t>
        </is>
      </c>
      <c r="D48" s="15" t="inlineStr">
        <is>
          <t>Apex Display Group</t>
        </is>
      </c>
      <c r="E48" s="17" t="n">
        <v>3.840073948048811</v>
      </c>
      <c r="F48" s="18" t="n">
        <v>-0.4033881117452843</v>
      </c>
    </row>
    <row r="49">
      <c r="A49" s="14" t="n">
        <v>45</v>
      </c>
      <c r="B49" s="14" t="n">
        <v>224430</v>
      </c>
      <c r="C49" s="15" t="inlineStr">
        <is>
          <t>RW-260826-104427</t>
        </is>
      </c>
      <c r="D49" s="15" t="inlineStr">
        <is>
          <t>BCI Tennessee Division</t>
        </is>
      </c>
      <c r="E49" s="17" t="n">
        <v>4.2185790251675</v>
      </c>
      <c r="F49" s="18" t="n">
        <v>-0.3952634807607156</v>
      </c>
    </row>
    <row r="50">
      <c r="A50" s="14" t="n">
        <v>46</v>
      </c>
      <c r="B50" s="14" t="n">
        <v>224454</v>
      </c>
      <c r="C50" s="15" t="inlineStr">
        <is>
          <t>FD-260827-072046</t>
        </is>
      </c>
      <c r="D50" s="15" t="inlineStr">
        <is>
          <t>PCA - Ashland</t>
        </is>
      </c>
      <c r="E50" s="17" t="n">
        <v>4.750333173488505</v>
      </c>
      <c r="F50" s="18" t="n">
        <v>-0.3838493505659255</v>
      </c>
    </row>
    <row r="51">
      <c r="A51" s="14" t="n">
        <v>47</v>
      </c>
      <c r="B51" s="14" t="n">
        <v>224430</v>
      </c>
      <c r="C51" s="15" t="inlineStr">
        <is>
          <t>RW-260826-104427</t>
        </is>
      </c>
      <c r="D51" s="15" t="inlineStr">
        <is>
          <t>BCI Tennessee Division</t>
        </is>
      </c>
      <c r="E51" s="17" t="n">
        <v>5.282902366845867</v>
      </c>
      <c r="F51" s="18" t="n">
        <v>-0.372417725387431</v>
      </c>
    </row>
    <row r="52">
      <c r="A52" s="14" t="n">
        <v>48</v>
      </c>
      <c r="B52" s="14" t="n">
        <v>223354</v>
      </c>
      <c r="C52" s="15" t="inlineStr">
        <is>
          <t>RW-260807-141317</t>
        </is>
      </c>
      <c r="D52" s="15" t="inlineStr">
        <is>
          <t>Pax Corrugated - an affiliate of Welch Packaging</t>
        </is>
      </c>
      <c r="E52" s="17" t="n">
        <v>5.737476189898446</v>
      </c>
      <c r="F52" s="18" t="n">
        <v>-0.3626602748515992</v>
      </c>
    </row>
    <row r="53">
      <c r="A53" s="14" t="n">
        <v>49</v>
      </c>
      <c r="B53" s="14" t="n">
        <v>222490</v>
      </c>
      <c r="C53" s="15" t="inlineStr">
        <is>
          <t>RW-260806-100307</t>
        </is>
      </c>
      <c r="D53" s="15" t="inlineStr">
        <is>
          <t>Skybox Packaging, LLC</t>
        </is>
      </c>
      <c r="E53" s="17" t="n">
        <v>5.744348567562303</v>
      </c>
      <c r="F53" s="18" t="n">
        <v>-0.3625127589109136</v>
      </c>
    </row>
    <row r="54">
      <c r="A54" s="14" t="n">
        <v>50</v>
      </c>
      <c r="B54" s="14" t="n">
        <v>224032</v>
      </c>
      <c r="C54" s="15" t="inlineStr">
        <is>
          <t>RW-260819-085031</t>
        </is>
      </c>
      <c r="D54" s="15" t="inlineStr">
        <is>
          <t>BCI Knoxville Division</t>
        </is>
      </c>
      <c r="E54" s="17" t="n">
        <v>6.251758578673414</v>
      </c>
      <c r="F54" s="18" t="n">
        <v>-0.3516211768757775</v>
      </c>
    </row>
    <row r="55">
      <c r="A55" s="14" t="n">
        <v>51</v>
      </c>
      <c r="B55" s="14" t="n">
        <v>224446</v>
      </c>
      <c r="C55" s="15" t="inlineStr">
        <is>
          <t>CS-260826-115130</t>
        </is>
      </c>
      <c r="D55" s="15" t="inlineStr">
        <is>
          <t>Apex Display Group</t>
        </is>
      </c>
      <c r="E55" s="17" t="n">
        <v>6.808797794832507</v>
      </c>
      <c r="F55" s="18" t="n">
        <v>-0.3396643013969134</v>
      </c>
    </row>
    <row r="56">
      <c r="A56" s="14" t="n">
        <v>52</v>
      </c>
      <c r="B56" s="14" t="n">
        <v>224464</v>
      </c>
      <c r="C56" s="15" t="inlineStr">
        <is>
          <t>FD-260827-073537</t>
        </is>
      </c>
      <c r="D56" s="15" t="inlineStr">
        <is>
          <t>PCA Pennsylvania Acquisition Corporation</t>
        </is>
      </c>
      <c r="E56" s="17" t="n">
        <v>7.04936922676266</v>
      </c>
      <c r="F56" s="18" t="n">
        <v>-0.3345004232139825</v>
      </c>
    </row>
    <row r="57">
      <c r="A57" s="14" t="n">
        <v>53</v>
      </c>
      <c r="B57" s="14" t="n">
        <v>223408</v>
      </c>
      <c r="C57" s="15" t="inlineStr">
        <is>
          <t>RW-260629-131349</t>
        </is>
      </c>
      <c r="D57" s="15" t="inlineStr">
        <is>
          <t>L&amp;M Corrugated Container Corporation</t>
        </is>
      </c>
      <c r="E57" s="17" t="n">
        <v>7.429622259916494</v>
      </c>
      <c r="F57" s="18" t="n">
        <v>-0.3263382722630479</v>
      </c>
    </row>
    <row r="58">
      <c r="A58" s="14" t="n">
        <v>54</v>
      </c>
      <c r="B58" s="14" t="n">
        <v>223327</v>
      </c>
      <c r="C58" s="15" t="inlineStr">
        <is>
          <t>RW-260804-155659</t>
        </is>
      </c>
      <c r="D58" s="15" t="inlineStr">
        <is>
          <t>Skybox Packaging, LLC</t>
        </is>
      </c>
      <c r="E58" s="17" t="n">
        <v>7.522280526403464</v>
      </c>
      <c r="F58" s="18" t="n">
        <v>-0.3243493577982615</v>
      </c>
    </row>
    <row r="59">
      <c r="A59" s="14" t="n">
        <v>55</v>
      </c>
      <c r="B59" s="14" t="n">
        <v>224032</v>
      </c>
      <c r="C59" s="15" t="inlineStr">
        <is>
          <t>RW-260819-085031</t>
        </is>
      </c>
      <c r="D59" s="15" t="inlineStr">
        <is>
          <t>BCI Knoxville Division</t>
        </is>
      </c>
      <c r="E59" s="17" t="n">
        <v>8.083416277134789</v>
      </c>
      <c r="F59" s="18" t="n">
        <v>-0.3123045499937115</v>
      </c>
    </row>
    <row r="60">
      <c r="A60" s="14" t="n">
        <v>56</v>
      </c>
      <c r="B60" s="14" t="n">
        <v>222220</v>
      </c>
      <c r="C60" s="15" t="inlineStr">
        <is>
          <t>CS-260805-145422</t>
        </is>
      </c>
      <c r="D60" s="15" t="inlineStr">
        <is>
          <t>PCA - Akron</t>
        </is>
      </c>
      <c r="E60" s="17" t="n">
        <v>8.108483683442572</v>
      </c>
      <c r="F60" s="18" t="n">
        <v>-0.3117664768256015</v>
      </c>
    </row>
    <row r="61">
      <c r="A61" s="14" t="n">
        <v>57</v>
      </c>
      <c r="B61" s="14" t="n">
        <v>224504</v>
      </c>
      <c r="C61" s="15" t="inlineStr">
        <is>
          <t>CD-260825-134048</t>
        </is>
      </c>
      <c r="D61" s="15" t="inlineStr">
        <is>
          <t>Apex Display Group</t>
        </is>
      </c>
      <c r="E61" s="17" t="n">
        <v>8.199482609945392</v>
      </c>
      <c r="F61" s="18" t="n">
        <v>-0.30981318017908</v>
      </c>
    </row>
    <row r="62">
      <c r="A62" s="14" t="n">
        <v>58</v>
      </c>
      <c r="B62" s="14" t="n">
        <v>224504</v>
      </c>
      <c r="C62" s="15" t="inlineStr">
        <is>
          <t>CD-260825-134048</t>
        </is>
      </c>
      <c r="D62" s="15" t="inlineStr">
        <is>
          <t>Apex Display Group</t>
        </is>
      </c>
      <c r="E62" s="17" t="n">
        <v>8.228271823313436</v>
      </c>
      <c r="F62" s="18" t="n">
        <v>-0.3091952182306382</v>
      </c>
    </row>
    <row r="63">
      <c r="A63" s="14" t="n">
        <v>59</v>
      </c>
      <c r="B63" s="14" t="n">
        <v>224257</v>
      </c>
      <c r="C63" s="15" t="inlineStr">
        <is>
          <t>CD-260818-152740</t>
        </is>
      </c>
      <c r="D63" s="15" t="inlineStr">
        <is>
          <t>Tavens</t>
        </is>
      </c>
      <c r="E63" s="17" t="n">
        <v>8.78035507207148</v>
      </c>
      <c r="F63" s="18" t="n">
        <v>-0.2973447228474166</v>
      </c>
    </row>
    <row r="64">
      <c r="A64" s="14" t="n">
        <v>60</v>
      </c>
      <c r="B64" s="14" t="n">
        <v>223860</v>
      </c>
      <c r="C64" s="15" t="inlineStr">
        <is>
          <t>RW-260731-115427</t>
        </is>
      </c>
      <c r="D64" s="15" t="inlineStr">
        <is>
          <t>PCA - New Oxford</t>
        </is>
      </c>
      <c r="E64" s="17" t="n">
        <v>8.932015274425137</v>
      </c>
      <c r="F64" s="18" t="n">
        <v>-0.2940893287889055</v>
      </c>
    </row>
    <row r="65">
      <c r="A65" s="14" t="n">
        <v>61</v>
      </c>
      <c r="B65" s="14" t="n">
        <v>222972</v>
      </c>
      <c r="C65" s="15" t="inlineStr">
        <is>
          <t>RW-260807-081531</t>
        </is>
      </c>
      <c r="D65" s="15" t="inlineStr">
        <is>
          <t>International Paper Retail Pkg &amp; Display</t>
        </is>
      </c>
      <c r="E65" s="17" t="n">
        <v>9.498579130480984</v>
      </c>
      <c r="F65" s="18" t="n">
        <v>-0.2819280064238566</v>
      </c>
    </row>
    <row r="66">
      <c r="A66" s="14" t="n">
        <v>62</v>
      </c>
      <c r="B66" s="14" t="n">
        <v>223318</v>
      </c>
      <c r="C66" s="15" t="inlineStr">
        <is>
          <t>RW-260807-140331</t>
        </is>
      </c>
      <c r="D66" s="15" t="inlineStr">
        <is>
          <t>Apex Display Group</t>
        </is>
      </c>
      <c r="E66" s="17" t="n">
        <v>10.07025126717153</v>
      </c>
      <c r="F66" s="18" t="n">
        <v>-0.2696570345517562</v>
      </c>
    </row>
    <row r="67">
      <c r="A67" s="14" t="n">
        <v>63</v>
      </c>
      <c r="B67" s="14" t="n">
        <v>223318</v>
      </c>
      <c r="C67" s="15" t="inlineStr">
        <is>
          <t>RW-260807-140331</t>
        </is>
      </c>
      <c r="D67" s="15" t="inlineStr">
        <is>
          <t>Apex Display Group</t>
        </is>
      </c>
      <c r="E67" s="17" t="n">
        <v>10.23090864341174</v>
      </c>
      <c r="F67" s="18" t="n">
        <v>-0.2662085156921494</v>
      </c>
    </row>
    <row r="68">
      <c r="A68" s="14" t="n">
        <v>64</v>
      </c>
      <c r="B68" s="14" t="n">
        <v>223661</v>
      </c>
      <c r="C68" s="15" t="inlineStr">
        <is>
          <t>RW-260807-141651</t>
        </is>
      </c>
      <c r="D68" s="15" t="inlineStr">
        <is>
          <t>PCA - Ashland</t>
        </is>
      </c>
      <c r="E68" s="17" t="n">
        <v>10.62485447917098</v>
      </c>
      <c r="F68" s="18" t="n">
        <v>-0.2577524480277051</v>
      </c>
    </row>
    <row r="69">
      <c r="A69" s="14" t="n">
        <v>65</v>
      </c>
      <c r="B69" s="14" t="n">
        <v>223590</v>
      </c>
      <c r="C69" s="15" t="inlineStr">
        <is>
          <t>RW-260727-090826</t>
        </is>
      </c>
      <c r="D69" s="15" t="inlineStr">
        <is>
          <t>PCA - Akron</t>
        </is>
      </c>
      <c r="E69" s="17" t="n">
        <v>10.64618084613697</v>
      </c>
      <c r="F69" s="18" t="n">
        <v>-0.257294676461841</v>
      </c>
    </row>
    <row r="70">
      <c r="A70" s="14" t="n">
        <v>66</v>
      </c>
      <c r="B70" s="14" t="n">
        <v>223957</v>
      </c>
      <c r="C70" s="15" t="inlineStr">
        <is>
          <t>RW-260820-091152</t>
        </is>
      </c>
      <c r="D70" s="15" t="inlineStr">
        <is>
          <t>PCA Cheswick</t>
        </is>
      </c>
      <c r="E70" s="17" t="n">
        <v>10.94930792722769</v>
      </c>
      <c r="F70" s="18" t="n">
        <v>-0.2507880380462107</v>
      </c>
    </row>
    <row r="71">
      <c r="A71" s="14" t="n">
        <v>67</v>
      </c>
      <c r="B71" s="14" t="n">
        <v>223882</v>
      </c>
      <c r="C71" s="15" t="inlineStr">
        <is>
          <t>RW-260730-155953</t>
        </is>
      </c>
      <c r="D71" s="15" t="inlineStr">
        <is>
          <t>PCA Pennsylvania Acquisition Corporation</t>
        </is>
      </c>
      <c r="E71" s="17" t="n">
        <v>11.18656774969706</v>
      </c>
      <c r="F71" s="18" t="n">
        <v>-0.2456952437310015</v>
      </c>
    </row>
    <row r="72">
      <c r="A72" s="14" t="n">
        <v>68</v>
      </c>
      <c r="B72" s="14" t="n">
        <v>223702</v>
      </c>
      <c r="C72" s="15" t="inlineStr">
        <is>
          <t>RW-260720-132349</t>
        </is>
      </c>
      <c r="D72" s="15" t="inlineStr">
        <is>
          <t>PCA - Akron</t>
        </is>
      </c>
      <c r="E72" s="17" t="n">
        <v>11.48632151155616</v>
      </c>
      <c r="F72" s="18" t="n">
        <v>-0.2392610137865038</v>
      </c>
    </row>
    <row r="73">
      <c r="A73" s="14" t="n">
        <v>69</v>
      </c>
      <c r="B73" s="14" t="n">
        <v>223597</v>
      </c>
      <c r="C73" s="15" t="inlineStr">
        <is>
          <t>RW-260730-155412</t>
        </is>
      </c>
      <c r="D73" s="15" t="inlineStr">
        <is>
          <t>Tavens</t>
        </is>
      </c>
      <c r="E73" s="17" t="n">
        <v>11.71192469684514</v>
      </c>
      <c r="F73" s="18" t="n">
        <v>-0.2344184297890333</v>
      </c>
    </row>
    <row r="74">
      <c r="A74" s="14" t="n">
        <v>70</v>
      </c>
      <c r="B74" s="14" t="n">
        <v>223376</v>
      </c>
      <c r="C74" s="15" t="inlineStr">
        <is>
          <t>RW-260629-134103</t>
        </is>
      </c>
      <c r="D74" s="15" t="inlineStr">
        <is>
          <t>PCA - Ashland</t>
        </is>
      </c>
      <c r="E74" s="17" t="n">
        <v>11.8304340612357</v>
      </c>
      <c r="F74" s="18" t="n">
        <v>-0.2318746201756497</v>
      </c>
    </row>
    <row r="75">
      <c r="A75" s="14" t="n">
        <v>71</v>
      </c>
      <c r="B75" s="14" t="n">
        <v>223701</v>
      </c>
      <c r="C75" s="15" t="inlineStr">
        <is>
          <t>RW-260720-133223</t>
        </is>
      </c>
      <c r="D75" s="15" t="inlineStr">
        <is>
          <t>Tavens</t>
        </is>
      </c>
      <c r="E75" s="17" t="n">
        <v>11.85013327607052</v>
      </c>
      <c r="F75" s="18" t="n">
        <v>-0.2314517755141275</v>
      </c>
    </row>
    <row r="76">
      <c r="A76" s="14" t="n">
        <v>72</v>
      </c>
      <c r="B76" s="14" t="n">
        <v>224044</v>
      </c>
      <c r="C76" s="15" t="inlineStr">
        <is>
          <t>RW-260819-090831</t>
        </is>
      </c>
      <c r="D76" s="15" t="inlineStr">
        <is>
          <t>PCA- New Oxford</t>
        </is>
      </c>
      <c r="E76" s="17" t="n">
        <v>11.970593811219</v>
      </c>
      <c r="F76" s="18" t="n">
        <v>-0.2288660839198819</v>
      </c>
    </row>
    <row r="77">
      <c r="A77" s="14" t="n">
        <v>73</v>
      </c>
      <c r="B77" s="14" t="n">
        <v>224302</v>
      </c>
      <c r="C77" s="15" t="inlineStr">
        <is>
          <t>CS-260820-141621</t>
        </is>
      </c>
      <c r="D77" s="15" t="inlineStr">
        <is>
          <t>Massillon Container</t>
        </is>
      </c>
      <c r="E77" s="17" t="n">
        <v>12.38927573303016</v>
      </c>
      <c r="F77" s="18" t="n">
        <v>-0.2198790548936925</v>
      </c>
    </row>
    <row r="78">
      <c r="A78" s="14" t="n">
        <v>74</v>
      </c>
      <c r="B78" s="14" t="n">
        <v>224302</v>
      </c>
      <c r="C78" s="15" t="inlineStr">
        <is>
          <t>CS-260820-141621</t>
        </is>
      </c>
      <c r="D78" s="15" t="inlineStr">
        <is>
          <t>Massillon Container</t>
        </is>
      </c>
      <c r="E78" s="17" t="n">
        <v>12.65544265618433</v>
      </c>
      <c r="F78" s="18" t="n">
        <v>-0.2141657681727126</v>
      </c>
    </row>
    <row r="79">
      <c r="A79" s="14" t="n">
        <v>75</v>
      </c>
      <c r="B79" s="14" t="n">
        <v>223702</v>
      </c>
      <c r="C79" s="15" t="inlineStr">
        <is>
          <t>RW-260720-132349</t>
        </is>
      </c>
      <c r="D79" s="15" t="inlineStr">
        <is>
          <t>PCA - Akron</t>
        </is>
      </c>
      <c r="E79" s="17" t="n">
        <v>13.06774794587495</v>
      </c>
      <c r="F79" s="18" t="n">
        <v>-0.2053156138835759</v>
      </c>
    </row>
    <row r="80">
      <c r="A80" s="14" t="n">
        <v>76</v>
      </c>
      <c r="B80" s="14" t="n">
        <v>222315</v>
      </c>
      <c r="C80" s="15" t="inlineStr">
        <is>
          <t>RW-260805-105526</t>
        </is>
      </c>
      <c r="D80" s="15" t="inlineStr">
        <is>
          <t>Skybox Packaging, LLC</t>
        </is>
      </c>
      <c r="E80" s="17" t="n">
        <v>13.71720216609844</v>
      </c>
      <c r="F80" s="18" t="n">
        <v>-0.1913750455803609</v>
      </c>
    </row>
    <row r="81">
      <c r="A81" s="14" t="n">
        <v>77</v>
      </c>
      <c r="B81" s="14" t="n">
        <v>224437</v>
      </c>
      <c r="C81" s="15" t="inlineStr">
        <is>
          <t>RW-260826-105021</t>
        </is>
      </c>
      <c r="D81" s="15" t="inlineStr">
        <is>
          <t>BCI Tennessee Division</t>
        </is>
      </c>
      <c r="E81" s="17" t="n">
        <v>13.94048769341886</v>
      </c>
      <c r="F81" s="18" t="n">
        <v>-0.1865822102306139</v>
      </c>
    </row>
    <row r="82">
      <c r="A82" s="14" t="n">
        <v>78</v>
      </c>
      <c r="B82" s="14" t="n">
        <v>222557</v>
      </c>
      <c r="C82" s="15" t="inlineStr">
        <is>
          <t>RW-260806-111429</t>
        </is>
      </c>
      <c r="D82" s="15" t="inlineStr">
        <is>
          <t>Pax Corrugated - an affiliate of Welch Packaging</t>
        </is>
      </c>
      <c r="E82" s="17" t="n">
        <v>15.20610492227586</v>
      </c>
      <c r="F82" s="18" t="n">
        <v>-0.1594156711964459</v>
      </c>
    </row>
    <row r="83">
      <c r="A83" s="14" t="n">
        <v>79</v>
      </c>
      <c r="B83" s="14" t="n">
        <v>224286</v>
      </c>
      <c r="C83" s="15" t="inlineStr">
        <is>
          <t>FD-260820-144547</t>
        </is>
      </c>
      <c r="D83" s="15" t="inlineStr">
        <is>
          <t>PCA Ashland</t>
        </is>
      </c>
      <c r="E83" s="17" t="n">
        <v>15.48568509151322</v>
      </c>
      <c r="F83" s="18" t="n">
        <v>-0.153414468457111</v>
      </c>
    </row>
    <row r="84">
      <c r="A84" s="14" t="n">
        <v>80</v>
      </c>
      <c r="B84" s="14" t="n">
        <v>224437</v>
      </c>
      <c r="C84" s="15" t="inlineStr">
        <is>
          <t>RW-260826-105021</t>
        </is>
      </c>
      <c r="D84" s="15" t="inlineStr">
        <is>
          <t>BCI Tennessee Division</t>
        </is>
      </c>
      <c r="E84" s="17" t="n">
        <v>16.04963204780611</v>
      </c>
      <c r="F84" s="18" t="n">
        <v>-0.1413093179803219</v>
      </c>
    </row>
    <row r="85">
      <c r="A85" s="14" t="n">
        <v>81</v>
      </c>
      <c r="B85" s="14" t="n">
        <v>223327</v>
      </c>
      <c r="C85" s="15" t="inlineStr">
        <is>
          <t>RW-260804-155659</t>
        </is>
      </c>
      <c r="D85" s="15" t="inlineStr">
        <is>
          <t>Skybox Packaging, LLC</t>
        </is>
      </c>
      <c r="E85" s="17" t="n">
        <v>16.52736500752946</v>
      </c>
      <c r="F85" s="18" t="n">
        <v>-0.1310547553824707</v>
      </c>
    </row>
    <row r="86">
      <c r="A86" s="14" t="n">
        <v>82</v>
      </c>
      <c r="B86" s="14" t="n">
        <v>223752</v>
      </c>
      <c r="C86" s="15" t="inlineStr">
        <is>
          <t>RW-260720-083107</t>
        </is>
      </c>
      <c r="D86" s="15" t="inlineStr">
        <is>
          <t>Packaging Corporation of America</t>
        </is>
      </c>
      <c r="E86" s="17" t="n">
        <v>16.59867101474983</v>
      </c>
      <c r="F86" s="18" t="n">
        <v>-0.1295241682631155</v>
      </c>
    </row>
    <row r="87">
      <c r="A87" s="14" t="n">
        <v>83</v>
      </c>
      <c r="B87" s="14" t="n">
        <v>223454</v>
      </c>
      <c r="C87" s="15" t="inlineStr">
        <is>
          <t>RW-260727-101129</t>
        </is>
      </c>
      <c r="D87" s="15" t="inlineStr">
        <is>
          <t>PCA - Akron</t>
        </is>
      </c>
      <c r="E87" s="17" t="n">
        <v>16.87258286396553</v>
      </c>
      <c r="F87" s="18" t="n">
        <v>-0.1236446363051318</v>
      </c>
    </row>
    <row r="88">
      <c r="A88" s="14" t="n">
        <v>84</v>
      </c>
      <c r="B88" s="14" t="n">
        <v>223596</v>
      </c>
      <c r="C88" s="15" t="inlineStr">
        <is>
          <t>RW-260722-085112</t>
        </is>
      </c>
      <c r="D88" s="15" t="inlineStr">
        <is>
          <t>PCA Pennsylvania Acquisition Corporation</t>
        </is>
      </c>
      <c r="E88" s="17" t="n">
        <v>16.90064359336942</v>
      </c>
      <c r="F88" s="18" t="n">
        <v>-0.123042311302519</v>
      </c>
    </row>
    <row r="89">
      <c r="A89" s="14" t="n">
        <v>85</v>
      </c>
      <c r="B89" s="14" t="n">
        <v>222479</v>
      </c>
      <c r="C89" s="15" t="inlineStr">
        <is>
          <t>RW-260805-115250</t>
        </is>
      </c>
      <c r="D89" s="15" t="inlineStr">
        <is>
          <t>McElroy Contract Packaging, Inc.</t>
        </is>
      </c>
      <c r="E89" s="17" t="n">
        <v>17.34705440011538</v>
      </c>
      <c r="F89" s="18" t="n">
        <v>-0.1134600803323457</v>
      </c>
    </row>
    <row r="90">
      <c r="A90" s="14" t="n">
        <v>86</v>
      </c>
      <c r="B90" s="14" t="n">
        <v>221299</v>
      </c>
      <c r="C90" s="15" t="inlineStr">
        <is>
          <t>RW-260720-093753</t>
        </is>
      </c>
      <c r="D90" s="15" t="inlineStr">
        <is>
          <t>GO2 Partners, Inc.</t>
        </is>
      </c>
      <c r="E90" s="17" t="n">
        <v>17.54132038472314</v>
      </c>
      <c r="F90" s="18" t="n">
        <v>-0.1092901509622913</v>
      </c>
    </row>
    <row r="91">
      <c r="A91" s="14" t="n">
        <v>87</v>
      </c>
      <c r="B91" s="14" t="n">
        <v>222180</v>
      </c>
      <c r="C91" s="15" t="inlineStr">
        <is>
          <t>RW-260804-170132</t>
        </is>
      </c>
      <c r="D91" s="15" t="inlineStr">
        <is>
          <t>PCA Pennsylvania Acquisition Corporation</t>
        </is>
      </c>
      <c r="E91" s="17" t="n">
        <v>17.5579088119128</v>
      </c>
      <c r="F91" s="18" t="n">
        <v>-0.1089340795178701</v>
      </c>
    </row>
    <row r="92">
      <c r="A92" s="14" t="n">
        <v>88</v>
      </c>
      <c r="B92" s="14" t="n">
        <v>223785</v>
      </c>
      <c r="C92" s="15" t="inlineStr">
        <is>
          <t>RW-260721-102108</t>
        </is>
      </c>
      <c r="D92" s="15" t="inlineStr">
        <is>
          <t>Massillon Container Company</t>
        </is>
      </c>
      <c r="E92" s="17" t="n">
        <v>18.3807548900365</v>
      </c>
      <c r="F92" s="18" t="n">
        <v>-0.09127164605001378</v>
      </c>
    </row>
    <row r="93">
      <c r="A93" s="14" t="n">
        <v>89</v>
      </c>
      <c r="B93" s="14" t="n">
        <v>223864</v>
      </c>
      <c r="C93" s="15" t="inlineStr">
        <is>
          <t>CS-260803-133009</t>
        </is>
      </c>
      <c r="D93" s="15" t="inlineStr">
        <is>
          <t>Skybox Packaging, LLC</t>
        </is>
      </c>
      <c r="E93" s="17" t="n">
        <v>18.55080876525157</v>
      </c>
      <c r="F93" s="18" t="n">
        <v>-0.08762143085571381</v>
      </c>
    </row>
    <row r="94">
      <c r="A94" s="14" t="n">
        <v>90</v>
      </c>
      <c r="B94" s="14" t="n">
        <v>222478</v>
      </c>
      <c r="C94" s="15" t="inlineStr">
        <is>
          <t>RW-260805-132313</t>
        </is>
      </c>
      <c r="D94" s="15" t="inlineStr">
        <is>
          <t>McElroy Contract Packaging, Inc.</t>
        </is>
      </c>
      <c r="E94" s="17" t="n">
        <v>18.85761017462969</v>
      </c>
      <c r="F94" s="18" t="n">
        <v>-0.08103592279405779</v>
      </c>
    </row>
    <row r="95">
      <c r="A95" s="14" t="n">
        <v>91</v>
      </c>
      <c r="B95" s="14" t="n">
        <v>223393</v>
      </c>
      <c r="C95" s="15" t="inlineStr">
        <is>
          <t>RW-260804-132826</t>
        </is>
      </c>
      <c r="D95" s="15" t="inlineStr">
        <is>
          <t>Spring Cove Container, Inc</t>
        </is>
      </c>
      <c r="E95" s="17" t="n">
        <v>20.01268678771978</v>
      </c>
      <c r="F95" s="18" t="n">
        <v>-0.0562421437734408</v>
      </c>
    </row>
    <row r="96">
      <c r="A96" s="14" t="n">
        <v>92</v>
      </c>
      <c r="B96" s="14" t="n">
        <v>223065</v>
      </c>
      <c r="C96" s="15" t="inlineStr">
        <is>
          <t>RW-260807-082738</t>
        </is>
      </c>
      <c r="D96" s="15" t="inlineStr">
        <is>
          <t>International Paper Retail Pkg &amp; Display</t>
        </is>
      </c>
      <c r="E96" s="17" t="n">
        <v>20.40811854371102</v>
      </c>
      <c r="F96" s="18" t="n">
        <v>-0.0477541807546476</v>
      </c>
    </row>
    <row r="97">
      <c r="A97" s="14" t="n">
        <v>93</v>
      </c>
      <c r="B97" s="14" t="n">
        <v>222151</v>
      </c>
      <c r="C97" s="15" t="inlineStr">
        <is>
          <t>RW-260804-165029</t>
        </is>
      </c>
      <c r="D97" s="15" t="inlineStr">
        <is>
          <t>PCA Pennsylvania Acquisition Corporation</t>
        </is>
      </c>
      <c r="E97" s="17" t="n">
        <v>20.55470711715886</v>
      </c>
      <c r="F97" s="18" t="n">
        <v>-0.04460764947193884</v>
      </c>
    </row>
    <row r="98">
      <c r="A98" s="14" t="n">
        <v>94</v>
      </c>
      <c r="B98" s="14" t="n">
        <v>222972</v>
      </c>
      <c r="C98" s="15" t="inlineStr">
        <is>
          <t>RW-260807-081531</t>
        </is>
      </c>
      <c r="D98" s="15" t="inlineStr">
        <is>
          <t>International Paper Retail Pkg &amp; Display</t>
        </is>
      </c>
      <c r="E98" s="17" t="n">
        <v>20.61068702290077</v>
      </c>
      <c r="F98" s="18" t="n">
        <v>-0.04340603791056661</v>
      </c>
    </row>
    <row r="99">
      <c r="A99" s="14" t="n">
        <v>95</v>
      </c>
      <c r="B99" s="14" t="n">
        <v>223498</v>
      </c>
      <c r="C99" s="15" t="inlineStr">
        <is>
          <t>RW-260706-110912</t>
        </is>
      </c>
      <c r="D99" s="15" t="inlineStr">
        <is>
          <t>Apex Display Group</t>
        </is>
      </c>
      <c r="E99" s="17" t="n">
        <v>21.02030599411455</v>
      </c>
      <c r="F99" s="18" t="n">
        <v>-0.03461354558596</v>
      </c>
    </row>
    <row r="100">
      <c r="A100" s="14" t="n">
        <v>96</v>
      </c>
      <c r="B100" s="14" t="n">
        <v>222327</v>
      </c>
      <c r="C100" s="15" t="inlineStr">
        <is>
          <t>RW-260805-110335</t>
        </is>
      </c>
      <c r="D100" s="15" t="inlineStr">
        <is>
          <t>PCA / Fairfield, OH</t>
        </is>
      </c>
      <c r="E100" s="17" t="n">
        <v>21.08984260076492</v>
      </c>
      <c r="F100" s="18" t="n">
        <v>-0.03312093874101627</v>
      </c>
    </row>
    <row r="101">
      <c r="A101" s="14" t="n">
        <v>97</v>
      </c>
      <c r="B101" s="14" t="n">
        <v>223791</v>
      </c>
      <c r="C101" s="15" t="inlineStr">
        <is>
          <t>RW-260723-084853</t>
        </is>
      </c>
      <c r="D101" s="15" t="inlineStr">
        <is>
          <t>PFI Instore</t>
        </is>
      </c>
      <c r="E101" s="17" t="n">
        <v>22.04301557274905</v>
      </c>
      <c r="F101" s="18" t="n">
        <v>-0.01266103178075283</v>
      </c>
    </row>
    <row r="102">
      <c r="A102" s="14" t="n">
        <v>98</v>
      </c>
      <c r="B102" s="14" t="n">
        <v>222151</v>
      </c>
      <c r="C102" s="15" t="inlineStr">
        <is>
          <t>RW-260804-165029</t>
        </is>
      </c>
      <c r="D102" s="15" t="inlineStr">
        <is>
          <t>PCA Pennsylvania Acquisition Corporation</t>
        </is>
      </c>
      <c r="E102" s="17" t="n">
        <v>22.20156773073855</v>
      </c>
      <c r="F102" s="18" t="n">
        <v>-0.009257701539378561</v>
      </c>
    </row>
    <row r="103">
      <c r="A103" s="14" t="n">
        <v>99</v>
      </c>
      <c r="B103" s="14" t="n">
        <v>224524</v>
      </c>
      <c r="C103" s="15" t="inlineStr">
        <is>
          <t>RW-260827-085319</t>
        </is>
      </c>
      <c r="D103" s="15" t="inlineStr">
        <is>
          <t>Weber Display &amp; Packaging</t>
        </is>
      </c>
      <c r="E103" s="17" t="n">
        <v>23.52648234417477</v>
      </c>
      <c r="F103" s="18" t="n">
        <v>0.01918165891035298</v>
      </c>
    </row>
    <row r="104">
      <c r="A104" s="14" t="n">
        <v>100</v>
      </c>
      <c r="B104" s="14" t="n">
        <v>223651</v>
      </c>
      <c r="C104" s="15" t="inlineStr">
        <is>
          <t>RW-260724-113737</t>
        </is>
      </c>
      <c r="D104" s="15" t="inlineStr">
        <is>
          <t>Apex Display Group</t>
        </is>
      </c>
      <c r="E104" s="17" t="n">
        <v>23.99949099700961</v>
      </c>
      <c r="F104" s="18" t="n">
        <v>0.02933481401740044</v>
      </c>
    </row>
    <row r="105">
      <c r="A105" s="14" t="n">
        <v>101</v>
      </c>
      <c r="B105" s="14" t="n">
        <v>223591</v>
      </c>
      <c r="C105" s="15" t="inlineStr">
        <is>
          <t>RW-260722-082345</t>
        </is>
      </c>
      <c r="D105" s="15" t="inlineStr">
        <is>
          <t>PCA - Akron</t>
        </is>
      </c>
      <c r="E105" s="17" t="n">
        <v>24.37963140147941</v>
      </c>
      <c r="F105" s="18" t="n">
        <v>0.03749454738782849</v>
      </c>
    </row>
    <row r="106">
      <c r="A106" s="14" t="n">
        <v>102</v>
      </c>
      <c r="B106" s="14" t="n">
        <v>223591</v>
      </c>
      <c r="C106" s="15" t="inlineStr">
        <is>
          <t>RW-260722-082345</t>
        </is>
      </c>
      <c r="D106" s="15" t="inlineStr">
        <is>
          <t>PCA - Akron</t>
        </is>
      </c>
      <c r="E106" s="17" t="n">
        <v>24.49947168151862</v>
      </c>
      <c r="F106" s="18" t="n">
        <v>0.04006692517419216</v>
      </c>
    </row>
    <row r="107">
      <c r="A107" s="14" t="n">
        <v>103</v>
      </c>
      <c r="B107" s="14" t="n">
        <v>222478</v>
      </c>
      <c r="C107" s="15" t="inlineStr">
        <is>
          <t>RW-260805-132313</t>
        </is>
      </c>
      <c r="D107" s="15" t="inlineStr">
        <is>
          <t>McElroy Contract Packaging, Inc.</t>
        </is>
      </c>
      <c r="E107" s="17" t="n">
        <v>25.05396042297716</v>
      </c>
      <c r="F107" s="18" t="n">
        <v>0.05196905458218404</v>
      </c>
    </row>
    <row r="108">
      <c r="A108" s="14" t="n">
        <v>104</v>
      </c>
      <c r="B108" s="14" t="n">
        <v>223882</v>
      </c>
      <c r="C108" s="15" t="inlineStr">
        <is>
          <t>RW-260730-155953</t>
        </is>
      </c>
      <c r="D108" s="15" t="inlineStr">
        <is>
          <t>PCA Pennsylvania Acquisition Corporation</t>
        </is>
      </c>
      <c r="E108" s="17" t="n">
        <v>25.4248609291108</v>
      </c>
      <c r="F108" s="18" t="n">
        <v>0.05993045305869817</v>
      </c>
    </row>
    <row r="109">
      <c r="A109" s="14" t="n">
        <v>105</v>
      </c>
      <c r="B109" s="14" t="n">
        <v>222478</v>
      </c>
      <c r="C109" s="15" t="inlineStr">
        <is>
          <t>RW-260805-132313</t>
        </is>
      </c>
      <c r="D109" s="15" t="inlineStr">
        <is>
          <t>McElroy Contract Packaging, Inc.</t>
        </is>
      </c>
      <c r="E109" s="17" t="n">
        <v>25.53905714975635</v>
      </c>
      <c r="F109" s="18" t="n">
        <v>0.06238168081934056</v>
      </c>
    </row>
    <row r="110">
      <c r="A110" s="14" t="n">
        <v>106</v>
      </c>
      <c r="B110" s="14" t="n">
        <v>223498</v>
      </c>
      <c r="C110" s="15" t="inlineStr">
        <is>
          <t>RW-260706-110912</t>
        </is>
      </c>
      <c r="D110" s="15" t="inlineStr">
        <is>
          <t>Apex Display Group</t>
        </is>
      </c>
      <c r="E110" s="17" t="n">
        <v>26.06509493010641</v>
      </c>
      <c r="F110" s="18" t="n">
        <v>0.07367310888107222</v>
      </c>
    </row>
    <row r="111">
      <c r="A111" s="14" t="n">
        <v>107</v>
      </c>
      <c r="B111" s="14" t="n">
        <v>224024</v>
      </c>
      <c r="C111" s="15" t="inlineStr">
        <is>
          <t>RW-260819-091905</t>
        </is>
      </c>
      <c r="D111" s="15" t="inlineStr">
        <is>
          <t>BCI Knoxville Division</t>
        </is>
      </c>
      <c r="E111" s="17" t="n">
        <v>26.27690298088601</v>
      </c>
      <c r="F111" s="18" t="n">
        <v>0.07821957960544106</v>
      </c>
    </row>
    <row r="112">
      <c r="A112" s="14" t="n">
        <v>108</v>
      </c>
      <c r="B112" s="14" t="n">
        <v>222478</v>
      </c>
      <c r="C112" s="15" t="inlineStr">
        <is>
          <t>RW-260805-132313</t>
        </is>
      </c>
      <c r="D112" s="15" t="inlineStr">
        <is>
          <t>McElroy Contract Packaging, Inc.</t>
        </is>
      </c>
      <c r="E112" s="17" t="n">
        <v>26.29384679782335</v>
      </c>
      <c r="F112" s="18" t="n">
        <v>0.07858327950910911</v>
      </c>
    </row>
    <row r="113">
      <c r="A113" s="14" t="n">
        <v>109</v>
      </c>
      <c r="B113" s="14" t="n">
        <v>223333</v>
      </c>
      <c r="C113" s="15" t="inlineStr">
        <is>
          <t>RW-260807-140950</t>
        </is>
      </c>
      <c r="D113" s="15" t="inlineStr">
        <is>
          <t>PCA Pennsylvania Acquisition Corporation</t>
        </is>
      </c>
      <c r="E113" s="17" t="n">
        <v>26.34415076163524</v>
      </c>
      <c r="F113" s="18" t="n">
        <v>0.07966305668447453</v>
      </c>
    </row>
    <row r="114">
      <c r="A114" s="14" t="n">
        <v>110</v>
      </c>
      <c r="B114" s="14" t="n">
        <v>222848</v>
      </c>
      <c r="C114" s="15" t="inlineStr">
        <is>
          <t>RW-260806-160923</t>
        </is>
      </c>
      <c r="D114" s="15" t="inlineStr">
        <is>
          <t>PCA / Fairfield, OH</t>
        </is>
      </c>
      <c r="E114" s="17" t="n">
        <v>26.38012480317256</v>
      </c>
      <c r="F114" s="18" t="n">
        <v>0.08043524133980121</v>
      </c>
    </row>
    <row r="115">
      <c r="A115" s="14" t="n">
        <v>111</v>
      </c>
      <c r="B115" s="14" t="n">
        <v>222182</v>
      </c>
      <c r="C115" s="15" t="inlineStr">
        <is>
          <t>CS-260806-131339</t>
        </is>
      </c>
      <c r="D115" s="15" t="inlineStr">
        <is>
          <t>Skybox Packaging, LLC</t>
        </is>
      </c>
      <c r="E115" s="17" t="n">
        <v>26.54681604288983</v>
      </c>
      <c r="F115" s="18" t="n">
        <v>0.08401327738986561</v>
      </c>
    </row>
    <row r="116">
      <c r="A116" s="14" t="n">
        <v>112</v>
      </c>
      <c r="B116" s="14" t="n">
        <v>223498</v>
      </c>
      <c r="C116" s="15" t="inlineStr">
        <is>
          <t>RW-260706-110912</t>
        </is>
      </c>
      <c r="D116" s="15" t="inlineStr">
        <is>
          <t>Apex Display Group</t>
        </is>
      </c>
      <c r="E116" s="17" t="n">
        <v>26.59457885995104</v>
      </c>
      <c r="F116" s="18" t="n">
        <v>0.08503850871928349</v>
      </c>
    </row>
    <row r="117">
      <c r="A117" s="14" t="n">
        <v>113</v>
      </c>
      <c r="B117" s="14" t="n">
        <v>223105</v>
      </c>
      <c r="C117" s="15" t="inlineStr">
        <is>
          <t>RW-260807-132555</t>
        </is>
      </c>
      <c r="D117" s="15" t="inlineStr">
        <is>
          <t>PCA - Ashland</t>
        </is>
      </c>
      <c r="E117" s="17" t="n">
        <v>26.79580696584707</v>
      </c>
      <c r="F117" s="18" t="n">
        <v>0.08935788038154614</v>
      </c>
    </row>
    <row r="118">
      <c r="A118" s="14" t="n">
        <v>114</v>
      </c>
      <c r="B118" s="14" t="n">
        <v>224305</v>
      </c>
      <c r="C118" s="15" t="inlineStr">
        <is>
          <t>CD-260820-144644</t>
        </is>
      </c>
      <c r="D118" s="15" t="inlineStr">
        <is>
          <t>Massillon Container</t>
        </is>
      </c>
      <c r="E118" s="17" t="n">
        <v>27.35576923076924</v>
      </c>
      <c r="F118" s="18" t="n">
        <v>0.1013774992527332</v>
      </c>
    </row>
    <row r="119">
      <c r="A119" s="14" t="n">
        <v>115</v>
      </c>
      <c r="B119" s="14" t="n">
        <v>224504</v>
      </c>
      <c r="C119" s="15" t="inlineStr">
        <is>
          <t>CD-260825-134048</t>
        </is>
      </c>
      <c r="D119" s="15" t="inlineStr">
        <is>
          <t>Apex Display Group</t>
        </is>
      </c>
      <c r="E119" s="17" t="n">
        <v>27.81506604784004</v>
      </c>
      <c r="F119" s="18" t="n">
        <v>0.1112363290985402</v>
      </c>
    </row>
    <row r="120">
      <c r="A120" s="14" t="n">
        <v>116</v>
      </c>
      <c r="B120" s="14" t="n">
        <v>223575</v>
      </c>
      <c r="C120" s="15" t="inlineStr">
        <is>
          <t>RW-260727-144121</t>
        </is>
      </c>
      <c r="D120" s="15" t="inlineStr">
        <is>
          <t>Skybox Packaging, LLC</t>
        </is>
      </c>
      <c r="E120" s="17" t="n">
        <v>27.8472017785177</v>
      </c>
      <c r="F120" s="18" t="n">
        <v>0.1119261242134777</v>
      </c>
    </row>
    <row r="121">
      <c r="A121" s="14" t="n">
        <v>117</v>
      </c>
      <c r="B121" s="14" t="n">
        <v>222479</v>
      </c>
      <c r="C121" s="15" t="inlineStr">
        <is>
          <t>RW-260805-115250</t>
        </is>
      </c>
      <c r="D121" s="15" t="inlineStr">
        <is>
          <t>McElroy Contract Packaging, Inc.</t>
        </is>
      </c>
      <c r="E121" s="17" t="n">
        <v>27.92413220007874</v>
      </c>
      <c r="F121" s="18" t="n">
        <v>0.1135774396764793</v>
      </c>
    </row>
    <row r="122">
      <c r="A122" s="14" t="n">
        <v>118</v>
      </c>
      <c r="B122" s="14" t="n">
        <v>222971</v>
      </c>
      <c r="C122" s="15" t="inlineStr">
        <is>
          <t>RW-260806-165344</t>
        </is>
      </c>
      <c r="D122" s="15" t="inlineStr">
        <is>
          <t>Apex Display Group</t>
        </is>
      </c>
      <c r="E122" s="17" t="n">
        <v>28.03225755393407</v>
      </c>
      <c r="F122" s="18" t="n">
        <v>0.1158983559686404</v>
      </c>
    </row>
    <row r="123">
      <c r="A123" s="14" t="n">
        <v>119</v>
      </c>
      <c r="B123" s="14" t="n">
        <v>222479</v>
      </c>
      <c r="C123" s="15" t="inlineStr">
        <is>
          <t>RW-260805-115250</t>
        </is>
      </c>
      <c r="D123" s="15" t="inlineStr">
        <is>
          <t>McElroy Contract Packaging, Inc.</t>
        </is>
      </c>
      <c r="E123" s="17" t="n">
        <v>28.90243258234067</v>
      </c>
      <c r="F123" s="18" t="n">
        <v>0.1345767077931612</v>
      </c>
    </row>
    <row r="124">
      <c r="A124" s="14" t="n">
        <v>120</v>
      </c>
      <c r="B124" s="14" t="n">
        <v>222718</v>
      </c>
      <c r="C124" s="15" t="inlineStr">
        <is>
          <t>RW-260806-114526</t>
        </is>
      </c>
      <c r="D124" s="15" t="inlineStr">
        <is>
          <t>Skybox Packaging, LLC</t>
        </is>
      </c>
      <c r="E124" s="17" t="n">
        <v>29.67966473428958</v>
      </c>
      <c r="F124" s="18" t="n">
        <v>0.1512600359852083</v>
      </c>
    </row>
    <row r="125">
      <c r="A125" s="14" t="n">
        <v>121</v>
      </c>
      <c r="B125" s="14" t="n">
        <v>222182</v>
      </c>
      <c r="C125" s="15" t="inlineStr">
        <is>
          <t>CS-260806-131339</t>
        </is>
      </c>
      <c r="D125" s="15" t="inlineStr">
        <is>
          <t>Skybox Packaging, LLC</t>
        </is>
      </c>
      <c r="E125" s="17" t="n">
        <v>29.67966473428958</v>
      </c>
      <c r="F125" s="18" t="n">
        <v>0.1512600359852083</v>
      </c>
    </row>
    <row r="126">
      <c r="A126" s="14" t="n">
        <v>122</v>
      </c>
      <c r="B126" s="14" t="n">
        <v>223333</v>
      </c>
      <c r="C126" s="15" t="inlineStr">
        <is>
          <t>RW-260807-140950</t>
        </is>
      </c>
      <c r="D126" s="15" t="inlineStr">
        <is>
          <t>PCA Pennsylvania Acquisition Corporation</t>
        </is>
      </c>
      <c r="E126" s="17" t="n">
        <v>30.68516876636631</v>
      </c>
      <c r="F126" s="18" t="n">
        <v>0.1728432318469579</v>
      </c>
    </row>
    <row r="127">
      <c r="A127" s="14" t="n">
        <v>123</v>
      </c>
      <c r="B127" s="14" t="n">
        <v>222809</v>
      </c>
      <c r="C127" s="15" t="inlineStr">
        <is>
          <t>RW-260806-155449</t>
        </is>
      </c>
      <c r="D127" s="15" t="inlineStr">
        <is>
          <t>Apex Display Group</t>
        </is>
      </c>
      <c r="E127" s="17" t="n">
        <v>30.78855973651858</v>
      </c>
      <c r="F127" s="18" t="n">
        <v>0.175062524348972</v>
      </c>
    </row>
    <row r="128">
      <c r="A128" s="14" t="n">
        <v>124</v>
      </c>
      <c r="B128" s="14" t="n">
        <v>224227</v>
      </c>
      <c r="C128" s="15" t="inlineStr">
        <is>
          <t>CS-260826-155317</t>
        </is>
      </c>
      <c r="D128" s="15" t="inlineStr">
        <is>
          <t>PCA- New Oxford</t>
        </is>
      </c>
      <c r="E128" s="17" t="n">
        <v>31.28147072718262</v>
      </c>
      <c r="F128" s="18" t="n">
        <v>0.1856428841630829</v>
      </c>
    </row>
    <row r="129">
      <c r="A129" s="14" t="n">
        <v>125</v>
      </c>
      <c r="B129" s="14" t="n">
        <v>224024</v>
      </c>
      <c r="C129" s="15" t="inlineStr">
        <is>
          <t>RW-260819-091905</t>
        </is>
      </c>
      <c r="D129" s="15" t="inlineStr">
        <is>
          <t>BCI Knoxville Division</t>
        </is>
      </c>
      <c r="E129" s="17" t="n">
        <v>31.31150032935296</v>
      </c>
      <c r="F129" s="18" t="n">
        <v>0.1862874711210827</v>
      </c>
    </row>
    <row r="130">
      <c r="A130" s="14" t="n">
        <v>126</v>
      </c>
      <c r="B130" s="14" t="n">
        <v>224218</v>
      </c>
      <c r="C130" s="15" t="inlineStr">
        <is>
          <t>CS-260818-112454</t>
        </is>
      </c>
      <c r="D130" s="15" t="inlineStr">
        <is>
          <t>Skybox Packaging, LLC</t>
        </is>
      </c>
      <c r="E130" s="17" t="n">
        <v>31.53944231457789</v>
      </c>
      <c r="F130" s="18" t="n">
        <v>0.1911802575796957</v>
      </c>
    </row>
    <row r="131">
      <c r="A131" s="14" t="n">
        <v>127</v>
      </c>
      <c r="B131" s="14" t="n">
        <v>224524</v>
      </c>
      <c r="C131" s="15" t="inlineStr">
        <is>
          <t>RW-260827-085319</t>
        </is>
      </c>
      <c r="D131" s="15" t="inlineStr">
        <is>
          <t>Weber Display &amp; Packaging</t>
        </is>
      </c>
      <c r="E131" s="17" t="n">
        <v>31.80112384091495</v>
      </c>
      <c r="F131" s="18" t="n">
        <v>0.1967972650268656</v>
      </c>
    </row>
    <row r="132">
      <c r="A132" s="14" t="n">
        <v>128</v>
      </c>
      <c r="B132" s="14" t="n">
        <v>222219</v>
      </c>
      <c r="C132" s="15" t="inlineStr">
        <is>
          <t>RW-260807-161054</t>
        </is>
      </c>
      <c r="D132" s="15" t="inlineStr">
        <is>
          <t>PCA - Akron</t>
        </is>
      </c>
      <c r="E132" s="17" t="n">
        <v>32.16937561641097</v>
      </c>
      <c r="F132" s="18" t="n">
        <v>0.2047018083637553</v>
      </c>
    </row>
    <row r="133">
      <c r="A133" s="14" t="n">
        <v>129</v>
      </c>
      <c r="B133" s="14" t="n">
        <v>223837</v>
      </c>
      <c r="C133" s="15" t="inlineStr">
        <is>
          <t>RW-260807-142934</t>
        </is>
      </c>
      <c r="D133" s="15" t="inlineStr">
        <is>
          <t>Apex Display Group</t>
        </is>
      </c>
      <c r="E133" s="17" t="n">
        <v>32.41435215511596</v>
      </c>
      <c r="F133" s="18" t="n">
        <v>0.2099602423906013</v>
      </c>
    </row>
    <row r="134">
      <c r="A134" s="14" t="n">
        <v>130</v>
      </c>
      <c r="B134" s="14" t="n">
        <v>222972</v>
      </c>
      <c r="C134" s="15" t="inlineStr">
        <is>
          <t>RW-260807-081531</t>
        </is>
      </c>
      <c r="D134" s="15" t="inlineStr">
        <is>
          <t>International Paper Retail Pkg &amp; Display</t>
        </is>
      </c>
      <c r="E134" s="17" t="n">
        <v>32.71630389965496</v>
      </c>
      <c r="F134" s="18" t="n">
        <v>0.2164416521465843</v>
      </c>
    </row>
    <row r="135">
      <c r="A135" s="14" t="n">
        <v>131</v>
      </c>
      <c r="B135" s="14" t="n">
        <v>223791</v>
      </c>
      <c r="C135" s="15" t="inlineStr">
        <is>
          <t>RW-260723-084853</t>
        </is>
      </c>
      <c r="D135" s="15" t="inlineStr">
        <is>
          <t>PFI Instore</t>
        </is>
      </c>
      <c r="E135" s="17" t="n">
        <v>32.72887109070296</v>
      </c>
      <c r="F135" s="18" t="n">
        <v>0.2167114075500119</v>
      </c>
    </row>
    <row r="136">
      <c r="A136" s="14" t="n">
        <v>132</v>
      </c>
      <c r="B136" s="14" t="n">
        <v>222777</v>
      </c>
      <c r="C136" s="15" t="inlineStr">
        <is>
          <t>RW-260806-134431</t>
        </is>
      </c>
      <c r="D136" s="15" t="inlineStr">
        <is>
          <t>Apex Display Group</t>
        </is>
      </c>
      <c r="E136" s="17" t="n">
        <v>34.2748707527717</v>
      </c>
      <c r="F136" s="18" t="n">
        <v>0.2498963699610652</v>
      </c>
    </row>
    <row r="137">
      <c r="A137" s="14" t="n">
        <v>133</v>
      </c>
      <c r="B137" s="14" t="n">
        <v>222479</v>
      </c>
      <c r="C137" s="15" t="inlineStr">
        <is>
          <t>RW-260805-115250</t>
        </is>
      </c>
      <c r="D137" s="15" t="inlineStr">
        <is>
          <t>McElroy Contract Packaging, Inc.</t>
        </is>
      </c>
      <c r="E137" s="17" t="n">
        <v>34.73620394920004</v>
      </c>
      <c r="F137" s="18" t="n">
        <v>0.2597989107947155</v>
      </c>
    </row>
    <row r="138">
      <c r="A138" s="14" t="n">
        <v>134</v>
      </c>
      <c r="B138" s="14" t="n">
        <v>223327</v>
      </c>
      <c r="C138" s="15" t="inlineStr">
        <is>
          <t>RW-260804-155659</t>
        </is>
      </c>
      <c r="D138" s="15" t="inlineStr">
        <is>
          <t>Skybox Packaging, LLC</t>
        </is>
      </c>
      <c r="E138" s="17" t="n">
        <v>35.05111918312905</v>
      </c>
      <c r="F138" s="18" t="n">
        <v>0.2665585825184583</v>
      </c>
    </row>
    <row r="139">
      <c r="A139" s="14" t="n">
        <v>135</v>
      </c>
      <c r="B139" s="14" t="n">
        <v>224424</v>
      </c>
      <c r="C139" s="15" t="inlineStr">
        <is>
          <t>CS-260825-160705</t>
        </is>
      </c>
      <c r="D139" s="15" t="inlineStr">
        <is>
          <t>Effem (Mars Petcare)</t>
        </is>
      </c>
      <c r="E139" s="17" t="n">
        <v>35.62451287585471</v>
      </c>
      <c r="F139" s="18" t="n">
        <v>0.2788665076795636</v>
      </c>
    </row>
    <row r="140">
      <c r="A140" s="14" t="n">
        <v>136</v>
      </c>
      <c r="B140" s="14" t="n">
        <v>222466</v>
      </c>
      <c r="C140" s="15" t="inlineStr">
        <is>
          <t>RW-260805-111442</t>
        </is>
      </c>
      <c r="D140" s="15" t="inlineStr">
        <is>
          <t>McElroy Contract Packaging, Inc.</t>
        </is>
      </c>
      <c r="E140" s="17" t="n">
        <v>36.96380151194319</v>
      </c>
      <c r="F140" s="18" t="n">
        <v>0.3076144072662134</v>
      </c>
    </row>
    <row r="141">
      <c r="A141" s="14" t="n">
        <v>137</v>
      </c>
      <c r="B141" s="14" t="n">
        <v>223071</v>
      </c>
      <c r="C141" s="15" t="inlineStr">
        <is>
          <t>RW-260807-084719</t>
        </is>
      </c>
      <c r="D141" s="15" t="inlineStr">
        <is>
          <t>Massillon Container Company</t>
        </is>
      </c>
      <c r="E141" s="17" t="n">
        <v>39.02797968377036</v>
      </c>
      <c r="F141" s="18" t="n">
        <v>0.3519220980907637</v>
      </c>
    </row>
    <row r="142">
      <c r="A142" s="14" t="n">
        <v>138</v>
      </c>
      <c r="B142" s="14" t="n">
        <v>223677</v>
      </c>
      <c r="C142" s="15" t="inlineStr">
        <is>
          <t>RW-260807-152050</t>
        </is>
      </c>
      <c r="D142" s="15" t="inlineStr">
        <is>
          <t>Apex Display Group</t>
        </is>
      </c>
      <c r="E142" s="17" t="n">
        <v>39.16643481164099</v>
      </c>
      <c r="F142" s="18" t="n">
        <v>0.3548940445450445</v>
      </c>
    </row>
    <row r="143">
      <c r="A143" s="14" t="n">
        <v>139</v>
      </c>
      <c r="B143" s="14" t="n">
        <v>223583</v>
      </c>
      <c r="C143" s="15" t="inlineStr">
        <is>
          <t>RW-260722-092124</t>
        </is>
      </c>
      <c r="D143" s="15" t="inlineStr">
        <is>
          <t>PCA - New Oxford</t>
        </is>
      </c>
      <c r="E143" s="17" t="n">
        <v>40.45379576762769</v>
      </c>
      <c r="F143" s="18" t="n">
        <v>0.3825273138024969</v>
      </c>
    </row>
    <row r="144">
      <c r="A144" s="14" t="n">
        <v>140</v>
      </c>
      <c r="B144" s="14" t="n">
        <v>224377</v>
      </c>
      <c r="C144" s="15" t="inlineStr">
        <is>
          <t>CD-260825-091053</t>
        </is>
      </c>
      <c r="D144" s="15" t="inlineStr">
        <is>
          <t>Mondelez International</t>
        </is>
      </c>
      <c r="E144" s="17" t="n">
        <v>41.28513002632543</v>
      </c>
      <c r="F144" s="18" t="n">
        <v>0.4003719465037677</v>
      </c>
    </row>
    <row r="145">
      <c r="A145" s="14" t="n">
        <v>141</v>
      </c>
      <c r="B145" s="14" t="n">
        <v>223851</v>
      </c>
      <c r="C145" s="15" t="inlineStr">
        <is>
          <t>RW-260724-153643</t>
        </is>
      </c>
      <c r="D145" s="15" t="inlineStr">
        <is>
          <t>Weber Display &amp; Packaging</t>
        </is>
      </c>
      <c r="E145" s="17" t="n">
        <v>41.45047005974158</v>
      </c>
      <c r="F145" s="18" t="n">
        <v>0.4039209788409513</v>
      </c>
    </row>
    <row r="146">
      <c r="A146" s="14" t="n">
        <v>142</v>
      </c>
      <c r="B146" s="14" t="n">
        <v>222466</v>
      </c>
      <c r="C146" s="15" t="inlineStr">
        <is>
          <t>RW-260805-111442</t>
        </is>
      </c>
      <c r="D146" s="15" t="inlineStr">
        <is>
          <t>McElroy Contract Packaging, Inc.</t>
        </is>
      </c>
      <c r="E146" s="17" t="n">
        <v>41.97056264842116</v>
      </c>
      <c r="F146" s="18" t="n">
        <v>0.4150847930571229</v>
      </c>
    </row>
    <row r="147">
      <c r="A147" s="14" t="n">
        <v>143</v>
      </c>
      <c r="B147" s="14" t="n">
        <v>222657</v>
      </c>
      <c r="C147" s="15" t="inlineStr">
        <is>
          <t>RW-260806-113829</t>
        </is>
      </c>
      <c r="D147" s="15" t="inlineStr">
        <is>
          <t>PCA - Ashland</t>
        </is>
      </c>
      <c r="E147" s="17" t="n">
        <v>43.78496175894951</v>
      </c>
      <c r="F147" s="18" t="n">
        <v>0.4540309634598781</v>
      </c>
    </row>
    <row r="148">
      <c r="A148" s="14" t="n">
        <v>144</v>
      </c>
      <c r="B148" s="14" t="n">
        <v>223590</v>
      </c>
      <c r="C148" s="15" t="inlineStr">
        <is>
          <t>RW-260727-090826</t>
        </is>
      </c>
      <c r="D148" s="15" t="inlineStr">
        <is>
          <t>PCA - Akron</t>
        </is>
      </c>
      <c r="E148" s="17" t="n">
        <v>45.08837337752001</v>
      </c>
      <c r="F148" s="18" t="n">
        <v>0.4820087610167763</v>
      </c>
    </row>
    <row r="149">
      <c r="A149" s="14" t="n">
        <v>145</v>
      </c>
      <c r="B149" s="14" t="n">
        <v>223689</v>
      </c>
      <c r="C149" s="15" t="inlineStr">
        <is>
          <t>RW-260720-134257</t>
        </is>
      </c>
      <c r="D149" s="15" t="inlineStr">
        <is>
          <t>Veritiv Operating Company</t>
        </is>
      </c>
      <c r="E149" s="17" t="n">
        <v>45.45219148281127</v>
      </c>
      <c r="F149" s="18" t="n">
        <v>0.4898181353942554</v>
      </c>
    </row>
    <row r="150">
      <c r="A150" s="14" t="n">
        <v>146</v>
      </c>
      <c r="B150" s="14" t="n">
        <v>222327</v>
      </c>
      <c r="C150" s="15" t="inlineStr">
        <is>
          <t>RW-260805-110335</t>
        </is>
      </c>
      <c r="D150" s="15" t="inlineStr">
        <is>
          <t>PCA / Fairfield, OH</t>
        </is>
      </c>
      <c r="E150" s="17" t="n">
        <v>47.30612292078462</v>
      </c>
      <c r="F150" s="18" t="n">
        <v>0.5296128692427029</v>
      </c>
    </row>
    <row r="151">
      <c r="A151" s="14" t="n">
        <v>147</v>
      </c>
      <c r="B151" s="14" t="n">
        <v>222478</v>
      </c>
      <c r="C151" s="15" t="inlineStr">
        <is>
          <t>RW-260805-132313</t>
        </is>
      </c>
      <c r="D151" s="15" t="inlineStr">
        <is>
          <t>McElroy Contract Packaging, Inc.</t>
        </is>
      </c>
      <c r="E151" s="17" t="n">
        <v>47.36827357750407</v>
      </c>
      <c r="F151" s="18" t="n">
        <v>0.5309469362917845</v>
      </c>
    </row>
    <row r="152">
      <c r="A152" s="14" t="n">
        <v>148</v>
      </c>
      <c r="B152" s="14" t="n">
        <v>222466</v>
      </c>
      <c r="C152" s="15" t="inlineStr">
        <is>
          <t>RW-260805-111442</t>
        </is>
      </c>
      <c r="D152" s="15" t="inlineStr">
        <is>
          <t>McElroy Contract Packaging, Inc.</t>
        </is>
      </c>
      <c r="E152" s="17" t="n">
        <v>48.48202587618734</v>
      </c>
      <c r="F152" s="18" t="n">
        <v>0.5548536867742339</v>
      </c>
    </row>
    <row r="153">
      <c r="A153" s="14" t="n">
        <v>149</v>
      </c>
      <c r="B153" s="14" t="n">
        <v>224024</v>
      </c>
      <c r="C153" s="15" t="inlineStr">
        <is>
          <t>RW-260819-091905</t>
        </is>
      </c>
      <c r="D153" s="15" t="inlineStr">
        <is>
          <t>BCI Knoxville Division</t>
        </is>
      </c>
      <c r="E153" s="17" t="n">
        <v>49.73094775474958</v>
      </c>
      <c r="F153" s="18" t="n">
        <v>0.5816618592540198</v>
      </c>
    </row>
    <row r="154">
      <c r="A154" s="14" t="n">
        <v>150</v>
      </c>
      <c r="B154" s="14" t="n">
        <v>223880</v>
      </c>
      <c r="C154" s="15" t="inlineStr">
        <is>
          <t>RW-260730-115948</t>
        </is>
      </c>
      <c r="D154" s="15" t="inlineStr">
        <is>
          <t>PCA Pennsylvania Acquisition Corporation</t>
        </is>
      </c>
      <c r="E154" s="17" t="n">
        <v>49.84581507459217</v>
      </c>
      <c r="F154" s="18" t="n">
        <v>0.5841274921935082</v>
      </c>
    </row>
    <row r="155">
      <c r="A155" s="14" t="n">
        <v>151</v>
      </c>
      <c r="B155" s="14" t="n">
        <v>222183</v>
      </c>
      <c r="C155" s="15" t="inlineStr">
        <is>
          <t>CS-260806-125309</t>
        </is>
      </c>
      <c r="D155" s="15" t="inlineStr">
        <is>
          <t>The Standard Group</t>
        </is>
      </c>
      <c r="E155" s="17" t="n">
        <v>50.99040156881368</v>
      </c>
      <c r="F155" s="18" t="n">
        <v>0.6086961002720598</v>
      </c>
    </row>
    <row r="156">
      <c r="A156" s="14" t="n">
        <v>152</v>
      </c>
      <c r="B156" s="14" t="n">
        <v>222258</v>
      </c>
      <c r="C156" s="15" t="inlineStr">
        <is>
          <t>RW-260805-102813</t>
        </is>
      </c>
      <c r="D156" s="15" t="inlineStr">
        <is>
          <t>Apex Display Group</t>
        </is>
      </c>
      <c r="E156" s="17" t="n">
        <v>52.20765879734432</v>
      </c>
      <c r="F156" s="18" t="n">
        <v>0.6348245894072507</v>
      </c>
    </row>
    <row r="157">
      <c r="A157" s="14" t="n">
        <v>153</v>
      </c>
      <c r="B157" s="14" t="n">
        <v>222327</v>
      </c>
      <c r="C157" s="15" t="inlineStr">
        <is>
          <t>RW-260805-110335</t>
        </is>
      </c>
      <c r="D157" s="15" t="inlineStr">
        <is>
          <t>PCA / Fairfield, OH</t>
        </is>
      </c>
      <c r="E157" s="17" t="n">
        <v>52.3679040430152</v>
      </c>
      <c r="F157" s="18" t="n">
        <v>0.6382642618629499</v>
      </c>
    </row>
    <row r="158">
      <c r="A158" s="14" t="n">
        <v>154</v>
      </c>
      <c r="B158" s="14" t="n">
        <v>223071</v>
      </c>
      <c r="C158" s="15" t="inlineStr">
        <is>
          <t>RW-260807-084719</t>
        </is>
      </c>
      <c r="D158" s="15" t="inlineStr">
        <is>
          <t>Massillon Container Company</t>
        </is>
      </c>
      <c r="E158" s="17" t="n">
        <v>52.37641232888407</v>
      </c>
      <c r="F158" s="18" t="n">
        <v>0.6384468926575538</v>
      </c>
    </row>
    <row r="159">
      <c r="A159" s="14" t="n">
        <v>155</v>
      </c>
      <c r="B159" s="14" t="n">
        <v>222466</v>
      </c>
      <c r="C159" s="15" t="inlineStr">
        <is>
          <t>RW-260805-111442</t>
        </is>
      </c>
      <c r="D159" s="15" t="inlineStr">
        <is>
          <t>McElroy Contract Packaging, Inc.</t>
        </is>
      </c>
      <c r="E159" s="17" t="n">
        <v>52.4407413391188</v>
      </c>
      <c r="F159" s="18" t="n">
        <v>0.6398277181770906</v>
      </c>
    </row>
    <row r="160">
      <c r="A160" s="14" t="n">
        <v>156</v>
      </c>
      <c r="B160" s="14" t="n">
        <v>222762</v>
      </c>
      <c r="C160" s="15" t="inlineStr">
        <is>
          <t>RW-260806-132503</t>
        </is>
      </c>
      <c r="D160" s="15" t="inlineStr">
        <is>
          <t>PCA - Mooresville, NC</t>
        </is>
      </c>
      <c r="E160" s="17" t="n">
        <v>56.38418834860546</v>
      </c>
      <c r="F160" s="18" t="n">
        <v>0.7244740114399774</v>
      </c>
    </row>
    <row r="161">
      <c r="A161" s="14" t="n">
        <v>157</v>
      </c>
      <c r="B161" s="14" t="n">
        <v>222769</v>
      </c>
      <c r="C161" s="15" t="inlineStr">
        <is>
          <t>RW-260806-132924</t>
        </is>
      </c>
      <c r="D161" s="15" t="inlineStr">
        <is>
          <t>PCA - Akron</t>
        </is>
      </c>
      <c r="E161" s="17" t="n">
        <v>56.92758476349936</v>
      </c>
      <c r="F161" s="18" t="n">
        <v>0.7361380434866761</v>
      </c>
    </row>
    <row r="162">
      <c r="A162" s="14" t="n">
        <v>158</v>
      </c>
      <c r="B162" s="14" t="n">
        <v>223706</v>
      </c>
      <c r="C162" s="15" t="inlineStr">
        <is>
          <t>RW-260717-111921</t>
        </is>
      </c>
      <c r="D162" s="15" t="inlineStr">
        <is>
          <t>Jamestown Container Corp. - Falconer</t>
        </is>
      </c>
      <c r="E162" s="17" t="n">
        <v>57.82773113903276</v>
      </c>
      <c r="F162" s="18" t="n">
        <v>0.7554597318216852</v>
      </c>
    </row>
    <row r="163">
      <c r="A163" s="14" t="n">
        <v>159</v>
      </c>
      <c r="B163" s="14" t="n">
        <v>223784</v>
      </c>
      <c r="C163" s="15" t="inlineStr">
        <is>
          <t>RW-260730-154720</t>
        </is>
      </c>
      <c r="D163" s="15" t="inlineStr">
        <is>
          <t>Skybox Packaging, LLC</t>
        </is>
      </c>
      <c r="E163" s="17" t="n">
        <v>59.33102403117557</v>
      </c>
      <c r="F163" s="18" t="n">
        <v>0.7877279912156154</v>
      </c>
    </row>
    <row r="164">
      <c r="A164" s="14" t="n">
        <v>160</v>
      </c>
      <c r="B164" s="14" t="n">
        <v>224322</v>
      </c>
      <c r="C164" s="15" t="inlineStr">
        <is>
          <t>RW-260821-104005</t>
        </is>
      </c>
      <c r="D164" s="15" t="inlineStr">
        <is>
          <t>PCA - Ashland</t>
        </is>
      </c>
      <c r="E164" s="17" t="n">
        <v>62.80048959608324</v>
      </c>
      <c r="F164" s="18" t="n">
        <v>0.8622002483465389</v>
      </c>
    </row>
    <row r="165">
      <c r="A165" s="14" t="n">
        <v>161</v>
      </c>
      <c r="B165" s="14" t="n">
        <v>222466</v>
      </c>
      <c r="C165" s="15" t="inlineStr">
        <is>
          <t>RW-260805-111442</t>
        </is>
      </c>
      <c r="D165" s="15" t="inlineStr">
        <is>
          <t>McElroy Contract Packaging, Inc.</t>
        </is>
      </c>
      <c r="E165" s="17" t="n">
        <v>63.74144203500531</v>
      </c>
      <c r="F165" s="18" t="n">
        <v>0.8823978409349061</v>
      </c>
    </row>
    <row r="166">
      <c r="A166" s="14" t="n">
        <v>162</v>
      </c>
      <c r="B166" s="14" t="n">
        <v>224362</v>
      </c>
      <c r="C166" s="15" t="inlineStr">
        <is>
          <t>CD-260821-152833</t>
        </is>
      </c>
      <c r="D166" s="15" t="inlineStr">
        <is>
          <t>PCA (Packaging Corporation of America)</t>
        </is>
      </c>
      <c r="E166" s="17" t="n">
        <v>72.18831611023091</v>
      </c>
      <c r="F166" s="18" t="n">
        <v>1.063710428223685</v>
      </c>
    </row>
    <row r="167">
      <c r="A167" s="14" t="n">
        <v>163</v>
      </c>
      <c r="B167" s="14" t="n">
        <v>223672</v>
      </c>
      <c r="C167" s="15" t="inlineStr">
        <is>
          <t>RW-260807-151228</t>
        </is>
      </c>
      <c r="D167" s="15" t="inlineStr">
        <is>
          <t>Apex Display Group</t>
        </is>
      </c>
      <c r="E167" s="17" t="n">
        <v>73.88562484404419</v>
      </c>
      <c r="F167" s="18" t="n">
        <v>1.10014324765663</v>
      </c>
    </row>
    <row r="168">
      <c r="A168" s="14" t="n">
        <v>164</v>
      </c>
      <c r="B168" s="14" t="n">
        <v>222800</v>
      </c>
      <c r="C168" s="15" t="inlineStr">
        <is>
          <t>RW-260806-155021</t>
        </is>
      </c>
      <c r="D168" s="15" t="inlineStr">
        <is>
          <t>Lynk Packaging</t>
        </is>
      </c>
      <c r="E168" s="17" t="n">
        <v>80.22116027596105</v>
      </c>
      <c r="F168" s="18" t="n">
        <v>1.236135842170347</v>
      </c>
    </row>
    <row r="169">
      <c r="A169" s="14" t="n">
        <v>165</v>
      </c>
      <c r="B169" s="14" t="n">
        <v>224350</v>
      </c>
      <c r="C169" s="15" t="inlineStr">
        <is>
          <t>RW-260825-115948</t>
        </is>
      </c>
      <c r="D169" s="15" t="inlineStr">
        <is>
          <t>PCA Pennsylvania Acquisition Corporation</t>
        </is>
      </c>
      <c r="E169" s="17" t="n">
        <v>81.31408646316598</v>
      </c>
      <c r="F169" s="18" t="n">
        <v>1.259595559096752</v>
      </c>
    </row>
    <row r="170">
      <c r="A170" s="14" t="n">
        <v>166</v>
      </c>
      <c r="B170" s="14" t="n">
        <v>223209</v>
      </c>
      <c r="C170" s="15" t="inlineStr">
        <is>
          <t>RW-260727-080830</t>
        </is>
      </c>
      <c r="D170" s="15" t="inlineStr">
        <is>
          <t>Compass Packaging</t>
        </is>
      </c>
      <c r="E170" s="17" t="n">
        <v>87.52790409260024</v>
      </c>
      <c r="F170" s="18" t="n">
        <v>1.392975474708109</v>
      </c>
    </row>
    <row r="171">
      <c r="A171" s="14" t="n">
        <v>167</v>
      </c>
      <c r="B171" s="14" t="n">
        <v>223878</v>
      </c>
      <c r="C171" s="15" t="inlineStr">
        <is>
          <t>RW-260731-113050</t>
        </is>
      </c>
      <c r="D171" s="15" t="inlineStr">
        <is>
          <t>Skybox Packaging, LLC</t>
        </is>
      </c>
      <c r="E171" s="17" t="n">
        <v>92.22150186041269</v>
      </c>
      <c r="F171" s="18" t="n">
        <v>1.493723792653429</v>
      </c>
    </row>
    <row r="172">
      <c r="A172" s="14" t="n">
        <v>168</v>
      </c>
      <c r="B172" s="14" t="n">
        <v>224271</v>
      </c>
      <c r="C172" s="15" t="inlineStr">
        <is>
          <t>FD-260827-065038</t>
        </is>
      </c>
      <c r="D172" s="15" t="inlineStr">
        <is>
          <t>PCA - Ashland</t>
        </is>
      </c>
      <c r="E172" s="17" t="n">
        <v>96.05031412587979</v>
      </c>
      <c r="F172" s="18" t="n">
        <v>1.575909445228853</v>
      </c>
    </row>
    <row r="173">
      <c r="A173" s="14" t="n">
        <v>169</v>
      </c>
      <c r="B173" s="14" t="n">
        <v>222935</v>
      </c>
      <c r="C173" s="15" t="inlineStr">
        <is>
          <t>RW-260806-161257</t>
        </is>
      </c>
      <c r="D173" s="15" t="inlineStr">
        <is>
          <t>International Paper Retail Pkg &amp; Display</t>
        </is>
      </c>
      <c r="E173" s="17" t="n">
        <v>97.43709504312915</v>
      </c>
      <c r="F173" s="18" t="n">
        <v>1.60567676907788</v>
      </c>
    </row>
    <row r="174">
      <c r="A174" s="14" t="n">
        <v>170</v>
      </c>
      <c r="B174" s="14" t="n">
        <v>223855</v>
      </c>
      <c r="C174" s="15" t="inlineStr">
        <is>
          <t>RW-260731-133402</t>
        </is>
      </c>
      <c r="D174" s="15" t="inlineStr">
        <is>
          <t>Massillon Container</t>
        </is>
      </c>
      <c r="E174" s="17" t="n">
        <v>197.6430278362778</v>
      </c>
      <c r="F174" s="18" t="n">
        <v>3.756602280054671</v>
      </c>
    </row>
    <row r="175">
      <c r="A175" s="14" t="n">
        <v>171</v>
      </c>
      <c r="B175" s="14" t="n">
        <v>223127</v>
      </c>
      <c r="C175" s="15" t="inlineStr">
        <is>
          <t>RW-260807-132828</t>
        </is>
      </c>
      <c r="D175" s="15" t="inlineStr">
        <is>
          <t>PCA- New Oxford</t>
        </is>
      </c>
      <c r="E175" s="17" t="n">
        <v>213.5606036056472</v>
      </c>
      <c r="F175" s="18" t="n">
        <v>4.098273864170532</v>
      </c>
    </row>
    <row r="176">
      <c r="A176" s="14" t="n">
        <v>172</v>
      </c>
      <c r="B176" s="14" t="n">
        <v>223172</v>
      </c>
      <c r="C176" s="15" t="inlineStr">
        <is>
          <t>RW-260807-133446</t>
        </is>
      </c>
      <c r="D176" s="15" t="inlineStr">
        <is>
          <t>PCA- New Oxford</t>
        </is>
      </c>
      <c r="E176" s="17" t="n">
        <v>435.0989632422243</v>
      </c>
      <c r="F176" s="18" t="n">
        <v>8.853606169553204</v>
      </c>
    </row>
    <row r="179">
      <c r="A179" s="1" t="inlineStr">
        <is>
          <t>Histogram — Variance % Buckets</t>
        </is>
      </c>
    </row>
    <row r="180">
      <c r="A180" s="9" t="inlineStr">
        <is>
          <t>Bucket</t>
        </is>
      </c>
      <c r="B180" s="9" t="inlineStr">
        <is>
          <t>Count</t>
        </is>
      </c>
    </row>
    <row r="181">
      <c r="A181" t="inlineStr">
        <is>
          <t>-100%..-75%</t>
        </is>
      </c>
      <c r="B181" s="7" t="n">
        <v>0</v>
      </c>
    </row>
    <row r="182">
      <c r="A182" t="inlineStr">
        <is>
          <t>-75%..-50%</t>
        </is>
      </c>
      <c r="B182" s="7" t="n">
        <v>2</v>
      </c>
    </row>
    <row r="183">
      <c r="A183" t="inlineStr">
        <is>
          <t>-50%..-25%</t>
        </is>
      </c>
      <c r="B183" s="7" t="n">
        <v>9</v>
      </c>
    </row>
    <row r="184">
      <c r="A184" t="inlineStr">
        <is>
          <t>-25%..0%</t>
        </is>
      </c>
      <c r="B184" s="7" t="n">
        <v>26</v>
      </c>
    </row>
    <row r="185">
      <c r="A185" t="inlineStr">
        <is>
          <t>0%..25%</t>
        </is>
      </c>
      <c r="B185" s="7" t="n">
        <v>65</v>
      </c>
    </row>
    <row r="186">
      <c r="A186" t="inlineStr">
        <is>
          <t>25%..50%</t>
        </is>
      </c>
      <c r="B186" s="7" t="n">
        <v>48</v>
      </c>
    </row>
    <row r="187">
      <c r="A187" t="inlineStr">
        <is>
          <t>50%..75%</t>
        </is>
      </c>
      <c r="B187" s="7" t="n">
        <v>13</v>
      </c>
    </row>
    <row r="188">
      <c r="A188" t="inlineStr">
        <is>
          <t>75%..100%</t>
        </is>
      </c>
      <c r="B188" s="7" t="n">
        <v>6</v>
      </c>
    </row>
    <row r="189">
      <c r="A189" t="inlineStr">
        <is>
          <t>100%..125%</t>
        </is>
      </c>
      <c r="B189" s="7" t="n">
        <v>0</v>
      </c>
    </row>
    <row r="190">
      <c r="A190" t="inlineStr">
        <is>
          <t>125%..150%</t>
        </is>
      </c>
      <c r="B190" s="7" t="n">
        <v>0</v>
      </c>
    </row>
    <row r="191">
      <c r="A191" t="inlineStr">
        <is>
          <t>150%..175%</t>
        </is>
      </c>
      <c r="B191" s="7" t="n">
        <v>0</v>
      </c>
    </row>
    <row r="192">
      <c r="A192" t="inlineStr">
        <is>
          <t>175%..200%</t>
        </is>
      </c>
      <c r="B192" s="7" t="n">
        <v>1</v>
      </c>
    </row>
    <row r="193">
      <c r="A193" t="inlineStr">
        <is>
          <t>200%..225%</t>
        </is>
      </c>
      <c r="B193" s="7" t="n">
        <v>1</v>
      </c>
    </row>
    <row r="194">
      <c r="A194" t="inlineStr">
        <is>
          <t>225%..250%</t>
        </is>
      </c>
      <c r="B194" s="7" t="n">
        <v>0</v>
      </c>
    </row>
    <row r="195">
      <c r="A195" t="inlineStr">
        <is>
          <t>250%..275%</t>
        </is>
      </c>
      <c r="B195" s="7" t="n">
        <v>0</v>
      </c>
    </row>
    <row r="196">
      <c r="A196" t="inlineStr">
        <is>
          <t>275%..300%</t>
        </is>
      </c>
      <c r="B196" s="7" t="n">
        <v>0</v>
      </c>
    </row>
    <row r="197">
      <c r="A197" t="inlineStr">
        <is>
          <t>300%..325%</t>
        </is>
      </c>
      <c r="B197" s="7" t="n">
        <v>0</v>
      </c>
    </row>
    <row r="198">
      <c r="A198" t="inlineStr">
        <is>
          <t>325%..350%</t>
        </is>
      </c>
      <c r="B198" s="7" t="n">
        <v>0</v>
      </c>
    </row>
    <row r="199">
      <c r="A199" t="inlineStr">
        <is>
          <t>350%..375%</t>
        </is>
      </c>
      <c r="B199" s="7" t="n">
        <v>0</v>
      </c>
    </row>
    <row r="200">
      <c r="A200" t="inlineStr">
        <is>
          <t>375%..400%</t>
        </is>
      </c>
      <c r="B200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41" customWidth="1" min="4" max="4"/>
    <col width="42" customWidth="1" min="5" max="5"/>
    <col width="18" customWidth="1" min="6" max="6"/>
    <col width="14" customWidth="1" min="7" max="7"/>
    <col width="12" customWidth="1" min="8" max="8"/>
    <col width="21" customWidth="1" min="9" max="9"/>
    <col width="14" customWidth="1" min="10" max="10"/>
    <col width="24" customWidth="1" min="11" max="11"/>
    <col width="20" customWidth="1" min="12" max="12"/>
    <col width="14" customWidth="1" min="13" max="13"/>
    <col width="17" customWidth="1" min="14" max="14"/>
    <col width="24" customWidth="1" min="15" max="15"/>
    <col width="11" customWidth="1" min="16" max="16"/>
    <col width="11" customWidth="1" min="17" max="17"/>
    <col width="19" customWidth="1" min="18" max="18"/>
    <col width="29" customWidth="1" min="19" max="19"/>
    <col width="22" customWidth="1" min="20" max="20"/>
    <col width="22" customWidth="1" min="21" max="21"/>
    <col width="23" customWidth="1" min="22" max="22"/>
    <col width="42" customWidth="1" min="23" max="23"/>
  </cols>
  <sheetData>
    <row r="1">
      <c r="A1" s="1" t="inlineStr">
        <is>
          <t>CD-Prefix Estimates — Known Freight Double-Count Bug</t>
        </is>
      </c>
    </row>
    <row r="2">
      <c r="A2" s="2" t="inlineStr">
        <is>
          <t>Freight override + freight modal both added → double-count. Verified live via engine repro (backend/routes/engine_routes.py:_alloc_job path).</t>
        </is>
      </c>
    </row>
    <row r="4">
      <c r="A4" s="13" t="inlineStr">
        <is>
          <t>iQuote Estimate #</t>
        </is>
      </c>
      <c r="B4" s="13" t="inlineStr">
        <is>
          <t>SPOT Estimate #</t>
        </is>
      </c>
      <c r="C4" s="13" t="inlineStr">
        <is>
          <t>Became a Job</t>
        </is>
      </c>
      <c r="D4" s="13" t="inlineStr">
        <is>
          <t>Customer</t>
        </is>
      </c>
      <c r="E4" s="13" t="inlineStr">
        <is>
          <t>Project Name</t>
        </is>
      </c>
      <c r="F4" s="13" t="inlineStr">
        <is>
          <t>iQuote Option</t>
        </is>
      </c>
      <c r="G4" s="13" t="inlineStr">
        <is>
          <t>Primary Qty</t>
        </is>
      </c>
      <c r="H4" s="13" t="inlineStr">
        <is>
          <t>Qty Band</t>
        </is>
      </c>
      <c r="I4" s="13" t="inlineStr">
        <is>
          <t>Qty Range in Group</t>
        </is>
      </c>
      <c r="J4" s="13" t="inlineStr">
        <is>
          <t># SPOT Rows</t>
        </is>
      </c>
      <c r="K4" s="13" t="inlineStr">
        <is>
          <t># iQuote Rows Matched</t>
        </is>
      </c>
      <c r="L4" s="13" t="inlineStr">
        <is>
          <t>Match Method</t>
        </is>
      </c>
      <c r="M4" s="13" t="inlineStr">
        <is>
          <t>Print Modes</t>
        </is>
      </c>
      <c r="N4" s="13" t="inlineStr">
        <is>
          <t>Print/No-Print</t>
        </is>
      </c>
      <c r="O4" s="13" t="inlineStr">
        <is>
          <t>Route(s)</t>
        </is>
      </c>
      <c r="P4" s="13" t="inlineStr">
        <is>
          <t>Board</t>
        </is>
      </c>
      <c r="Q4" s="13" t="inlineStr">
        <is>
          <t>IsBuyMin</t>
        </is>
      </c>
      <c r="R4" s="13" t="inlineStr">
        <is>
          <t>SPOT Quote Total</t>
        </is>
      </c>
      <c r="S4" s="13" t="inlineStr">
        <is>
          <t>iQuote Total (sum matched)</t>
        </is>
      </c>
      <c r="T4" s="13" t="inlineStr">
        <is>
          <t>Variance $</t>
        </is>
      </c>
      <c r="U4" s="13" t="inlineStr">
        <is>
          <t>Variance %</t>
        </is>
      </c>
      <c r="V4" s="13" t="inlineStr">
        <is>
          <t>Z-Score</t>
        </is>
      </c>
      <c r="W4" s="13" t="inlineStr">
        <is>
          <t>Notes</t>
        </is>
      </c>
    </row>
    <row r="5">
      <c r="A5" s="14" t="n">
        <v>224257</v>
      </c>
      <c r="B5" s="15" t="inlineStr">
        <is>
          <t>CD-260818-152740</t>
        </is>
      </c>
      <c r="C5" s="15" t="inlineStr">
        <is>
          <t>No</t>
        </is>
      </c>
      <c r="D5" s="15" t="inlineStr">
        <is>
          <t>Tavens</t>
        </is>
      </c>
      <c r="E5" s="15" t="inlineStr">
        <is>
          <t>Digital PW Display</t>
        </is>
      </c>
      <c r="F5" s="15" t="inlineStr">
        <is>
          <t>Option 1</t>
        </is>
      </c>
      <c r="G5" s="14" t="n">
        <v>100</v>
      </c>
      <c r="H5" s="15" t="inlineStr">
        <is>
          <t>50-199</t>
        </is>
      </c>
      <c r="I5" s="15" t="inlineStr">
        <is>
          <t>100</t>
        </is>
      </c>
      <c r="J5" s="14" t="n">
        <v>3</v>
      </c>
      <c r="K5" s="14" t="n">
        <v>3</v>
      </c>
      <c r="L5" s="15" t="inlineStr">
        <is>
          <t>opt+qty</t>
        </is>
      </c>
      <c r="M5" s="15" t="inlineStr">
        <is>
          <t>Satin</t>
        </is>
      </c>
      <c r="N5" s="15" t="inlineStr">
        <is>
          <t>Print</t>
        </is>
      </c>
      <c r="O5" s="15" t="inlineStr">
        <is>
          <t>CAD/Crest</t>
        </is>
      </c>
      <c r="P5" s="15" t="inlineStr">
        <is>
          <t>200 B</t>
        </is>
      </c>
      <c r="Q5" s="15" t="inlineStr">
        <is>
          <t>No</t>
        </is>
      </c>
      <c r="R5" s="16" t="n">
        <v>7635.75</v>
      </c>
      <c r="S5" s="16" t="n">
        <v>7019.42</v>
      </c>
      <c r="T5" s="16" t="n">
        <v>616.3299999999999</v>
      </c>
      <c r="U5" s="17" t="n">
        <v>8.78035507207148</v>
      </c>
      <c r="V5" s="18" t="n">
        <v>-0.2973447228474166</v>
      </c>
      <c r="W5" s="15" t="inlineStr"/>
    </row>
    <row r="6">
      <c r="A6" s="14" t="n">
        <v>224297</v>
      </c>
      <c r="B6" s="15" t="inlineStr">
        <is>
          <t>CD-260820-151955</t>
        </is>
      </c>
      <c r="C6" s="15" t="inlineStr">
        <is>
          <t>No</t>
        </is>
      </c>
      <c r="D6" s="15" t="inlineStr">
        <is>
          <t>Packaging Corporation</t>
        </is>
      </c>
      <c r="E6" s="15" t="inlineStr">
        <is>
          <t>Pallet Bands 48x40</t>
        </is>
      </c>
      <c r="F6" s="15" t="inlineStr">
        <is>
          <t>Option 1</t>
        </is>
      </c>
      <c r="G6" s="14" t="n">
        <v>2000</v>
      </c>
      <c r="H6" s="15" t="inlineStr">
        <is>
          <t>1000-4999</t>
        </is>
      </c>
      <c r="I6" s="15" t="inlineStr">
        <is>
          <t>2000</t>
        </is>
      </c>
      <c r="J6" s="14" t="n">
        <v>1</v>
      </c>
      <c r="K6" s="14" t="n">
        <v>1</v>
      </c>
      <c r="L6" s="15" t="inlineStr">
        <is>
          <t>qty-only</t>
        </is>
      </c>
      <c r="M6" s="15" t="inlineStr">
        <is>
          <t>Satin</t>
        </is>
      </c>
      <c r="N6" s="15" t="inlineStr">
        <is>
          <t>Print</t>
        </is>
      </c>
      <c r="O6" s="15" t="inlineStr">
        <is>
          <t>Crest</t>
        </is>
      </c>
      <c r="P6" s="15" t="inlineStr">
        <is>
          <t>ECT 44 B</t>
        </is>
      </c>
      <c r="Q6" s="15" t="inlineStr">
        <is>
          <t>No</t>
        </is>
      </c>
      <c r="R6" s="16" t="n">
        <v>10245.04</v>
      </c>
      <c r="S6" s="16" t="n">
        <v>12788.71</v>
      </c>
      <c r="T6" s="16" t="n">
        <v>-2543.669999999998</v>
      </c>
      <c r="U6" s="17" t="n">
        <v>-19.88996544608485</v>
      </c>
      <c r="V6" s="18" t="n">
        <v>-0.9127546301398538</v>
      </c>
      <c r="W6" s="15" t="inlineStr">
        <is>
          <t>estimator input their own freight/did override.</t>
        </is>
      </c>
    </row>
    <row r="7">
      <c r="A7" s="14" t="n">
        <v>224297</v>
      </c>
      <c r="B7" s="15" t="inlineStr">
        <is>
          <t>CD-260820-151955</t>
        </is>
      </c>
      <c r="C7" s="15" t="inlineStr">
        <is>
          <t>No</t>
        </is>
      </c>
      <c r="D7" s="15" t="inlineStr">
        <is>
          <t>Packaging Corporation</t>
        </is>
      </c>
      <c r="E7" s="15" t="inlineStr">
        <is>
          <t>Pallet Bands 48x40</t>
        </is>
      </c>
      <c r="F7" s="15" t="inlineStr">
        <is>
          <t>Option 1</t>
        </is>
      </c>
      <c r="G7" s="14" t="n">
        <v>4000</v>
      </c>
      <c r="H7" s="15" t="inlineStr">
        <is>
          <t>1000-4999</t>
        </is>
      </c>
      <c r="I7" s="15" t="inlineStr">
        <is>
          <t>4000</t>
        </is>
      </c>
      <c r="J7" s="14" t="n">
        <v>1</v>
      </c>
      <c r="K7" s="14" t="n">
        <v>1</v>
      </c>
      <c r="L7" s="15" t="inlineStr">
        <is>
          <t>qty-only</t>
        </is>
      </c>
      <c r="M7" s="15" t="inlineStr">
        <is>
          <t>Satin</t>
        </is>
      </c>
      <c r="N7" s="15" t="inlineStr">
        <is>
          <t>Print</t>
        </is>
      </c>
      <c r="O7" s="15" t="inlineStr">
        <is>
          <t>Crest</t>
        </is>
      </c>
      <c r="P7" s="15" t="inlineStr">
        <is>
          <t>ECT 44 B</t>
        </is>
      </c>
      <c r="Q7" s="15" t="inlineStr">
        <is>
          <t>No</t>
        </is>
      </c>
      <c r="R7" s="16" t="n">
        <v>17240.43</v>
      </c>
      <c r="S7" s="16" t="n">
        <v>23187.31</v>
      </c>
      <c r="T7" s="16" t="n">
        <v>-5946.880000000001</v>
      </c>
      <c r="U7" s="17" t="n">
        <v>-25.64713198728098</v>
      </c>
      <c r="V7" s="18" t="n">
        <v>-1.03633250661113</v>
      </c>
      <c r="W7" s="15" t="inlineStr">
        <is>
          <t>estimator input their own freight/did override.  Material was not a stocked length - triggered "Order"</t>
        </is>
      </c>
    </row>
    <row r="8">
      <c r="A8" s="14" t="n">
        <v>224297</v>
      </c>
      <c r="B8" s="15" t="inlineStr">
        <is>
          <t>CD-260820-151955</t>
        </is>
      </c>
      <c r="C8" s="15" t="inlineStr">
        <is>
          <t>No</t>
        </is>
      </c>
      <c r="D8" s="15" t="inlineStr">
        <is>
          <t>Packaging Corporation</t>
        </is>
      </c>
      <c r="E8" s="15" t="inlineStr">
        <is>
          <t>Pallet Bands 48x40</t>
        </is>
      </c>
      <c r="F8" s="15" t="inlineStr">
        <is>
          <t>Option 1</t>
        </is>
      </c>
      <c r="G8" s="14" t="n">
        <v>6000</v>
      </c>
      <c r="H8" s="15" t="inlineStr">
        <is>
          <t>5000+</t>
        </is>
      </c>
      <c r="I8" s="15" t="inlineStr">
        <is>
          <t>6000</t>
        </is>
      </c>
      <c r="J8" s="14" t="n">
        <v>1</v>
      </c>
      <c r="K8" s="14" t="n">
        <v>1</v>
      </c>
      <c r="L8" s="15" t="inlineStr">
        <is>
          <t>qty-only</t>
        </is>
      </c>
      <c r="M8" s="15" t="inlineStr">
        <is>
          <t>Satin</t>
        </is>
      </c>
      <c r="N8" s="15" t="inlineStr">
        <is>
          <t>Print</t>
        </is>
      </c>
      <c r="O8" s="15" t="inlineStr">
        <is>
          <t>Crest</t>
        </is>
      </c>
      <c r="P8" s="15" t="inlineStr">
        <is>
          <t>ECT 44 B</t>
        </is>
      </c>
      <c r="Q8" s="15" t="inlineStr">
        <is>
          <t>No</t>
        </is>
      </c>
      <c r="R8" s="16" t="n">
        <v>24954.19</v>
      </c>
      <c r="S8" s="16" t="n">
        <v>34360.47</v>
      </c>
      <c r="T8" s="16" t="n">
        <v>-9406.280000000002</v>
      </c>
      <c r="U8" s="17" t="n">
        <v>-27.37529492466198</v>
      </c>
      <c r="V8" s="18" t="n">
        <v>-1.073427613113562</v>
      </c>
      <c r="W8" s="15" t="inlineStr">
        <is>
          <t>estimator input their own freight/did override.  Material was not a stocked length - triggered "Order"</t>
        </is>
      </c>
    </row>
    <row r="9">
      <c r="A9" s="14" t="n">
        <v>224297</v>
      </c>
      <c r="B9" s="15" t="inlineStr">
        <is>
          <t>CD-260820-151955</t>
        </is>
      </c>
      <c r="C9" s="15" t="inlineStr">
        <is>
          <t>No</t>
        </is>
      </c>
      <c r="D9" s="15" t="inlineStr">
        <is>
          <t>Packaging Corporation</t>
        </is>
      </c>
      <c r="E9" s="15" t="inlineStr">
        <is>
          <t>Pallet Bands 48x40</t>
        </is>
      </c>
      <c r="F9" s="15" t="inlineStr">
        <is>
          <t>Option 1</t>
        </is>
      </c>
      <c r="G9" s="14" t="n">
        <v>8000</v>
      </c>
      <c r="H9" s="15" t="inlineStr">
        <is>
          <t>5000+</t>
        </is>
      </c>
      <c r="I9" s="15" t="inlineStr">
        <is>
          <t>8000</t>
        </is>
      </c>
      <c r="J9" s="14" t="n">
        <v>1</v>
      </c>
      <c r="K9" s="14" t="n">
        <v>1</v>
      </c>
      <c r="L9" s="15" t="inlineStr">
        <is>
          <t>qty-only</t>
        </is>
      </c>
      <c r="M9" s="15" t="inlineStr">
        <is>
          <t>Satin</t>
        </is>
      </c>
      <c r="N9" s="15" t="inlineStr">
        <is>
          <t>Print</t>
        </is>
      </c>
      <c r="O9" s="15" t="inlineStr">
        <is>
          <t>Crest</t>
        </is>
      </c>
      <c r="P9" s="15" t="inlineStr">
        <is>
          <t>ECT 44 B</t>
        </is>
      </c>
      <c r="Q9" s="15" t="inlineStr">
        <is>
          <t>No</t>
        </is>
      </c>
      <c r="R9" s="16" t="n">
        <v>32562.43</v>
      </c>
      <c r="S9" s="16" t="n">
        <v>44382.09</v>
      </c>
      <c r="T9" s="16" t="n">
        <v>-11819.66</v>
      </c>
      <c r="U9" s="17" t="n">
        <v>-26.63159846685904</v>
      </c>
      <c r="V9" s="18" t="n">
        <v>-1.057464130324439</v>
      </c>
      <c r="W9" s="15" t="inlineStr">
        <is>
          <t>estimator input their own freight/did override.  Material was not a stocked length - triggered "Order"</t>
        </is>
      </c>
    </row>
    <row r="10">
      <c r="A10" s="14" t="n">
        <v>224297</v>
      </c>
      <c r="B10" s="15" t="inlineStr">
        <is>
          <t>CD-260820-151955</t>
        </is>
      </c>
      <c r="C10" s="15" t="inlineStr">
        <is>
          <t>No</t>
        </is>
      </c>
      <c r="D10" s="15" t="inlineStr">
        <is>
          <t>Packaging Corporation</t>
        </is>
      </c>
      <c r="E10" s="15" t="inlineStr">
        <is>
          <t>Pallet Bands 48x40</t>
        </is>
      </c>
      <c r="F10" s="15" t="inlineStr">
        <is>
          <t>Option 1</t>
        </is>
      </c>
      <c r="G10" s="14" t="n">
        <v>10000</v>
      </c>
      <c r="H10" s="15" t="inlineStr">
        <is>
          <t>5000+</t>
        </is>
      </c>
      <c r="I10" s="15" t="inlineStr">
        <is>
          <t>10000</t>
        </is>
      </c>
      <c r="J10" s="14" t="n">
        <v>1</v>
      </c>
      <c r="K10" s="14" t="n">
        <v>1</v>
      </c>
      <c r="L10" s="15" t="inlineStr">
        <is>
          <t>qty-only</t>
        </is>
      </c>
      <c r="M10" s="15" t="inlineStr">
        <is>
          <t>Satin</t>
        </is>
      </c>
      <c r="N10" s="15" t="inlineStr">
        <is>
          <t>Print</t>
        </is>
      </c>
      <c r="O10" s="15" t="inlineStr">
        <is>
          <t>Crest</t>
        </is>
      </c>
      <c r="P10" s="15" t="inlineStr">
        <is>
          <t>ECT 44 B</t>
        </is>
      </c>
      <c r="Q10" s="15" t="inlineStr">
        <is>
          <t>No</t>
        </is>
      </c>
      <c r="R10" s="16" t="n">
        <v>40267.38</v>
      </c>
      <c r="S10" s="16" t="n">
        <v>54453.13</v>
      </c>
      <c r="T10" s="16" t="n">
        <v>-14185.75</v>
      </c>
      <c r="U10" s="17" t="n">
        <v>-26.05130320332367</v>
      </c>
      <c r="V10" s="18" t="n">
        <v>-1.045008062590269</v>
      </c>
      <c r="W10" s="15" t="inlineStr">
        <is>
          <t>estimator input their own freight/did override.  Material was not a stocked length - triggered "Order"</t>
        </is>
      </c>
    </row>
    <row r="11">
      <c r="A11" s="14" t="n">
        <v>224305</v>
      </c>
      <c r="B11" s="15" t="inlineStr">
        <is>
          <t>CD-260820-144644</t>
        </is>
      </c>
      <c r="C11" s="15" t="inlineStr">
        <is>
          <t>No</t>
        </is>
      </c>
      <c r="D11" s="15" t="inlineStr">
        <is>
          <t>Massillon Container</t>
        </is>
      </c>
      <c r="E11" s="15" t="inlineStr">
        <is>
          <t>Drain CTN</t>
        </is>
      </c>
      <c r="F11" s="15" t="inlineStr">
        <is>
          <t>224305</t>
        </is>
      </c>
      <c r="G11" s="14" t="n">
        <v>500</v>
      </c>
      <c r="H11" s="15" t="inlineStr">
        <is>
          <t>200-999</t>
        </is>
      </c>
      <c r="I11" s="15" t="inlineStr">
        <is>
          <t>500</t>
        </is>
      </c>
      <c r="J11" s="14" t="n">
        <v>1</v>
      </c>
      <c r="K11" s="14" t="n">
        <v>1</v>
      </c>
      <c r="L11" s="15" t="inlineStr">
        <is>
          <t>qty-only</t>
        </is>
      </c>
      <c r="M11" s="15" t="inlineStr">
        <is>
          <t>Satin</t>
        </is>
      </c>
      <c r="N11" s="15" t="inlineStr">
        <is>
          <t>Print</t>
        </is>
      </c>
      <c r="O11" s="15" t="inlineStr">
        <is>
          <t>CAD</t>
        </is>
      </c>
      <c r="P11" s="15" t="inlineStr">
        <is>
          <t>200 E</t>
        </is>
      </c>
      <c r="Q11" s="15" t="inlineStr">
        <is>
          <t>No</t>
        </is>
      </c>
      <c r="R11" s="16" t="n">
        <v>794.7</v>
      </c>
      <c r="S11" s="16" t="n">
        <v>624</v>
      </c>
      <c r="T11" s="16" t="n">
        <v>170.7</v>
      </c>
      <c r="U11" s="17" t="n">
        <v>27.35576923076924</v>
      </c>
      <c r="V11" s="18" t="n">
        <v>0.1013774992527332</v>
      </c>
      <c r="W11" s="15" t="inlineStr"/>
    </row>
    <row r="12">
      <c r="A12" s="14" t="n">
        <v>224362</v>
      </c>
      <c r="B12" s="15" t="inlineStr">
        <is>
          <t>CD-260821-152833</t>
        </is>
      </c>
      <c r="C12" s="15" t="inlineStr">
        <is>
          <t>No</t>
        </is>
      </c>
      <c r="D12" s="15" t="inlineStr">
        <is>
          <t>PCA (Packaging Corporation of America)</t>
        </is>
      </c>
      <c r="E12" s="15" t="inlineStr">
        <is>
          <t>44000 90245 2027 Oreo IMC Large DBL Kit — Digital Innovation Add On kit</t>
        </is>
      </c>
      <c r="F12" s="15" t="inlineStr">
        <is>
          <t>Option 1</t>
        </is>
      </c>
      <c r="G12" s="14" t="n">
        <v>920</v>
      </c>
      <c r="H12" s="15" t="inlineStr">
        <is>
          <t>200-999</t>
        </is>
      </c>
      <c r="I12" s="15" t="inlineStr">
        <is>
          <t>460-920</t>
        </is>
      </c>
      <c r="J12" s="14" t="n">
        <v>6</v>
      </c>
      <c r="K12" s="14" t="n">
        <v>6</v>
      </c>
      <c r="L12" s="15" t="inlineStr">
        <is>
          <t>estimate-fallback</t>
        </is>
      </c>
      <c r="M12" s="15" t="inlineStr">
        <is>
          <t>Gloss/Satin</t>
        </is>
      </c>
      <c r="N12" s="15" t="inlineStr">
        <is>
          <t>Print</t>
        </is>
      </c>
      <c r="O12" s="15" t="inlineStr">
        <is>
          <t>CAD/Crest</t>
        </is>
      </c>
      <c r="P12" s="15" t="inlineStr">
        <is>
          <t>ECT 40 B</t>
        </is>
      </c>
      <c r="Q12" s="15" t="inlineStr">
        <is>
          <t>No</t>
        </is>
      </c>
      <c r="R12" s="16" t="n">
        <v>37549.02</v>
      </c>
      <c r="S12" s="16" t="n">
        <v>21806.95</v>
      </c>
      <c r="T12" s="16" t="n">
        <v>15742.07</v>
      </c>
      <c r="U12" s="17" t="n">
        <v>72.18831611023091</v>
      </c>
      <c r="V12" s="18" t="n">
        <v>1.063710428223685</v>
      </c>
      <c r="W12" s="15" t="inlineStr">
        <is>
          <t xml:space="preserve">User overrode freight | User overrode freight | User overrode freight | User overrode freight | User overrode freight | User overrode freight; Material ECT 44 C Triggered "Order" </t>
        </is>
      </c>
    </row>
    <row r="13">
      <c r="A13" s="14" t="n">
        <v>224377</v>
      </c>
      <c r="B13" s="15" t="inlineStr">
        <is>
          <t>CD-260825-091053</t>
        </is>
      </c>
      <c r="C13" s="15" t="inlineStr">
        <is>
          <t>No</t>
        </is>
      </c>
      <c r="D13" s="15" t="inlineStr">
        <is>
          <t>Mondelez International</t>
        </is>
      </c>
      <c r="E13" s="15" t="inlineStr">
        <is>
          <t>44000 90245 2027 Oreo IMC Large DBL Kit — Digital Innovation Hutch Kit</t>
        </is>
      </c>
      <c r="F13" s="15" t="inlineStr">
        <is>
          <t>Option 1</t>
        </is>
      </c>
      <c r="G13" s="14" t="n">
        <v>800</v>
      </c>
      <c r="H13" s="15" t="inlineStr">
        <is>
          <t>200-999</t>
        </is>
      </c>
      <c r="I13" s="15" t="inlineStr">
        <is>
          <t>400-800</t>
        </is>
      </c>
      <c r="J13" s="14" t="n">
        <v>12</v>
      </c>
      <c r="K13" s="14" t="n">
        <v>11</v>
      </c>
      <c r="L13" s="15" t="inlineStr">
        <is>
          <t>opt+qty</t>
        </is>
      </c>
      <c r="M13" s="15" t="inlineStr">
        <is>
          <t>Gloss/Satin</t>
        </is>
      </c>
      <c r="N13" s="15" t="inlineStr">
        <is>
          <t>Print</t>
        </is>
      </c>
      <c r="O13" s="15" t="inlineStr">
        <is>
          <t>CAD/Crest/Saber + D/C</t>
        </is>
      </c>
      <c r="P13" s="15" t="inlineStr">
        <is>
          <t>ECT 44 B</t>
        </is>
      </c>
      <c r="Q13" s="15" t="inlineStr">
        <is>
          <t>No</t>
        </is>
      </c>
      <c r="R13" s="16" t="n">
        <v>96292.39999999999</v>
      </c>
      <c r="S13" s="16" t="n">
        <v>68154.65999999999</v>
      </c>
      <c r="T13" s="16" t="n">
        <v>28137.74000000001</v>
      </c>
      <c r="U13" s="17" t="n">
        <v>41.28513002632543</v>
      </c>
      <c r="V13" s="18" t="n">
        <v>0.4003719465037677</v>
      </c>
      <c r="W13" s="15" t="inlineStr">
        <is>
          <t>freight overridden on this order ~15,217 in freight costs for whole job in SPOT - this creates another line-item for freight so it is double-counted (bug found) | Custom sheet order - 1 out | Custom sheet order - 1 out</t>
        </is>
      </c>
    </row>
    <row r="14">
      <c r="A14" s="14" t="n">
        <v>224399</v>
      </c>
      <c r="B14" s="15" t="inlineStr">
        <is>
          <t>CD-260825-104135</t>
        </is>
      </c>
      <c r="C14" s="15" t="inlineStr">
        <is>
          <t>No</t>
        </is>
      </c>
      <c r="D14" s="15" t="inlineStr">
        <is>
          <t>BCI Buckeye Division</t>
        </is>
      </c>
      <c r="E14" s="15" t="inlineStr">
        <is>
          <t>Part # 11590 / 11616 / 11617</t>
        </is>
      </c>
      <c r="F14" s="15" t="inlineStr">
        <is>
          <t>Die Cut 2 items</t>
        </is>
      </c>
      <c r="G14" s="14" t="n">
        <v>200</v>
      </c>
      <c r="H14" s="15" t="inlineStr">
        <is>
          <t>200-999</t>
        </is>
      </c>
      <c r="I14" s="15" t="inlineStr">
        <is>
          <t>100-200</t>
        </is>
      </c>
      <c r="J14" s="14" t="n">
        <v>3</v>
      </c>
      <c r="K14" s="14" t="n">
        <v>3</v>
      </c>
      <c r="L14" s="15" t="inlineStr">
        <is>
          <t>opt+qty</t>
        </is>
      </c>
      <c r="M14" s="15" t="inlineStr">
        <is>
          <t>Satin</t>
        </is>
      </c>
      <c r="N14" s="15" t="inlineStr">
        <is>
          <t>Print</t>
        </is>
      </c>
      <c r="O14" s="15" t="inlineStr">
        <is>
          <t>CAD</t>
        </is>
      </c>
      <c r="P14" s="15" t="inlineStr">
        <is>
          <t>200 B</t>
        </is>
      </c>
      <c r="Q14" s="15" t="inlineStr">
        <is>
          <t>No</t>
        </is>
      </c>
      <c r="R14" s="16" t="n">
        <v>6184.06</v>
      </c>
      <c r="S14" s="16" t="n">
        <v>7707.219999999999</v>
      </c>
      <c r="T14" s="16" t="n">
        <v>-1523.159999999999</v>
      </c>
      <c r="U14" s="17" t="n">
        <v>-19.76276789815263</v>
      </c>
      <c r="V14" s="18" t="n">
        <v>-0.9100243282190495</v>
      </c>
      <c r="W14" s="15" t="inlineStr">
        <is>
          <t>iQuote data for this quote is for all Die cut, SPOT chose CAD for this one | iQuote data for this quote is for all Die cut, SPOT chose CAD for this one | iQuote data for this quote is for all Die cut, SPOT chose CAD for this one</t>
        </is>
      </c>
    </row>
    <row r="15">
      <c r="A15" s="14" t="n">
        <v>224504</v>
      </c>
      <c r="B15" s="15" t="inlineStr">
        <is>
          <t>CD-260825-134048</t>
        </is>
      </c>
      <c r="C15" s="15" t="inlineStr">
        <is>
          <t>No</t>
        </is>
      </c>
      <c r="D15" s="15" t="inlineStr">
        <is>
          <t>Apex Display Group</t>
        </is>
      </c>
      <c r="E15" s="15" t="inlineStr">
        <is>
          <t>Universal</t>
        </is>
      </c>
      <c r="F15" s="15" t="inlineStr">
        <is>
          <t>Option 1</t>
        </is>
      </c>
      <c r="G15" s="14" t="n">
        <v>500</v>
      </c>
      <c r="H15" s="15" t="inlineStr">
        <is>
          <t>200-999</t>
        </is>
      </c>
      <c r="I15" s="15" t="inlineStr">
        <is>
          <t>500</t>
        </is>
      </c>
      <c r="J15" s="14" t="n">
        <v>1</v>
      </c>
      <c r="K15" s="14" t="n">
        <v>1</v>
      </c>
      <c r="L15" s="15" t="inlineStr">
        <is>
          <t>opt+qty</t>
        </is>
      </c>
      <c r="M15" s="15" t="inlineStr">
        <is>
          <t>Gloss</t>
        </is>
      </c>
      <c r="N15" s="15" t="inlineStr">
        <is>
          <t>Print</t>
        </is>
      </c>
      <c r="O15" s="15" t="inlineStr">
        <is>
          <t>CAD</t>
        </is>
      </c>
      <c r="P15" s="15" t="inlineStr">
        <is>
          <t>ECT 32 B</t>
        </is>
      </c>
      <c r="Q15" s="15" t="inlineStr">
        <is>
          <t>No</t>
        </is>
      </c>
      <c r="R15" s="16" t="n">
        <v>1432.04</v>
      </c>
      <c r="S15" s="16" t="n">
        <v>1120.4</v>
      </c>
      <c r="T15" s="16" t="n">
        <v>311.6399999999999</v>
      </c>
      <c r="U15" s="17" t="n">
        <v>27.81506604784004</v>
      </c>
      <c r="V15" s="18" t="n">
        <v>0.1112363290985402</v>
      </c>
      <c r="W15" s="15" t="inlineStr">
        <is>
          <t>estimator overrode freight</t>
        </is>
      </c>
    </row>
    <row r="16">
      <c r="A16" s="14" t="n">
        <v>224504</v>
      </c>
      <c r="B16" s="15" t="inlineStr">
        <is>
          <t>CD-260825-134048</t>
        </is>
      </c>
      <c r="C16" s="15" t="inlineStr">
        <is>
          <t>No</t>
        </is>
      </c>
      <c r="D16" s="15" t="inlineStr">
        <is>
          <t>Apex Display Group</t>
        </is>
      </c>
      <c r="E16" s="15" t="inlineStr">
        <is>
          <t>Universal</t>
        </is>
      </c>
      <c r="F16" s="15" t="inlineStr">
        <is>
          <t>Option 1</t>
        </is>
      </c>
      <c r="G16" s="14" t="n">
        <v>750</v>
      </c>
      <c r="H16" s="15" t="inlineStr">
        <is>
          <t>200-999</t>
        </is>
      </c>
      <c r="I16" s="15" t="inlineStr">
        <is>
          <t>750</t>
        </is>
      </c>
      <c r="J16" s="14" t="n">
        <v>1</v>
      </c>
      <c r="K16" s="14" t="n">
        <v>1</v>
      </c>
      <c r="L16" s="15" t="inlineStr">
        <is>
          <t>opt+qty</t>
        </is>
      </c>
      <c r="M16" s="15" t="inlineStr">
        <is>
          <t>Gloss</t>
        </is>
      </c>
      <c r="N16" s="15" t="inlineStr">
        <is>
          <t>Print</t>
        </is>
      </c>
      <c r="O16" s="15" t="inlineStr">
        <is>
          <t>CAD</t>
        </is>
      </c>
      <c r="P16" s="15" t="inlineStr">
        <is>
          <t>ECT 32 B</t>
        </is>
      </c>
      <c r="Q16" s="15" t="inlineStr">
        <is>
          <t>No</t>
        </is>
      </c>
      <c r="R16" s="16" t="n">
        <v>1535.77</v>
      </c>
      <c r="S16" s="16" t="n">
        <v>1419.01</v>
      </c>
      <c r="T16" s="16" t="n">
        <v>116.76</v>
      </c>
      <c r="U16" s="17" t="n">
        <v>8.228271823313436</v>
      </c>
      <c r="V16" s="18" t="n">
        <v>-0.3091952182306382</v>
      </c>
      <c r="W16" s="15" t="inlineStr">
        <is>
          <t>estimator overrode freight</t>
        </is>
      </c>
    </row>
    <row r="17">
      <c r="A17" s="14" t="n">
        <v>224504</v>
      </c>
      <c r="B17" s="15" t="inlineStr">
        <is>
          <t>CD-260825-134048</t>
        </is>
      </c>
      <c r="C17" s="15" t="inlineStr">
        <is>
          <t>No</t>
        </is>
      </c>
      <c r="D17" s="15" t="inlineStr">
        <is>
          <t>Apex Display Group</t>
        </is>
      </c>
      <c r="E17" s="15" t="inlineStr">
        <is>
          <t>Universal</t>
        </is>
      </c>
      <c r="F17" s="15" t="inlineStr">
        <is>
          <t>Option 1</t>
        </is>
      </c>
      <c r="G17" s="14" t="n">
        <v>1000</v>
      </c>
      <c r="H17" s="15" t="inlineStr">
        <is>
          <t>1000-4999</t>
        </is>
      </c>
      <c r="I17" s="15" t="inlineStr">
        <is>
          <t>1000</t>
        </is>
      </c>
      <c r="J17" s="14" t="n">
        <v>1</v>
      </c>
      <c r="K17" s="14" t="n">
        <v>1</v>
      </c>
      <c r="L17" s="15" t="inlineStr">
        <is>
          <t>opt+qty</t>
        </is>
      </c>
      <c r="M17" s="15" t="inlineStr">
        <is>
          <t>Gloss</t>
        </is>
      </c>
      <c r="N17" s="15" t="inlineStr">
        <is>
          <t>Print</t>
        </is>
      </c>
      <c r="O17" s="15" t="inlineStr">
        <is>
          <t>CAD</t>
        </is>
      </c>
      <c r="P17" s="15" t="inlineStr">
        <is>
          <t>ECT 32 B</t>
        </is>
      </c>
      <c r="Q17" s="15" t="inlineStr">
        <is>
          <t>No</t>
        </is>
      </c>
      <c r="R17" s="16" t="n">
        <v>1882.13</v>
      </c>
      <c r="S17" s="16" t="n">
        <v>1739.5</v>
      </c>
      <c r="T17" s="16" t="n">
        <v>142.6300000000001</v>
      </c>
      <c r="U17" s="17" t="n">
        <v>8.199482609945392</v>
      </c>
      <c r="V17" s="18" t="n">
        <v>-0.30981318017908</v>
      </c>
      <c r="W17" s="15" t="inlineStr">
        <is>
          <t>estimator overrode freight</t>
        </is>
      </c>
    </row>
    <row r="21">
      <c r="A21" s="1" t="inlineStr">
        <is>
          <t>Restated Stats — Excluding CD-Freight Quotes</t>
        </is>
      </c>
    </row>
    <row r="23">
      <c r="A23" s="9" t="inlineStr">
        <is>
          <t>Quote Count</t>
        </is>
      </c>
      <c r="B23" s="7" t="n">
        <v>159</v>
      </c>
    </row>
    <row r="24">
      <c r="A24" s="9" t="inlineStr">
        <is>
          <t>Avg Variance %</t>
        </is>
      </c>
      <c r="B24" s="6" t="n">
        <v>24.17834916307141</v>
      </c>
    </row>
    <row r="25">
      <c r="A25" s="9" t="inlineStr">
        <is>
          <t>Median Variance %</t>
        </is>
      </c>
      <c r="B25" s="6" t="n">
        <v>18.55080876525157</v>
      </c>
    </row>
    <row r="26">
      <c r="A26" s="9" t="inlineStr">
        <is>
          <t>Std Dev</t>
        </is>
      </c>
      <c r="B26" s="6" t="n">
        <v>47.33803141050415</v>
      </c>
    </row>
    <row r="27">
      <c r="A27" s="9" t="inlineStr">
        <is>
          <t>P25</t>
        </is>
      </c>
      <c r="B27" s="6" t="n">
        <v>5.016617770167185</v>
      </c>
    </row>
    <row r="28">
      <c r="A28" s="9" t="inlineStr">
        <is>
          <t>P75</t>
        </is>
      </c>
      <c r="B28" s="6" t="n">
        <v>32.72258749517896</v>
      </c>
    </row>
    <row r="29">
      <c r="A29" s="9" t="inlineStr">
        <is>
          <t>SPOT &gt; iQuote (count)</t>
        </is>
      </c>
      <c r="B29" s="7" t="n">
        <v>128</v>
      </c>
    </row>
    <row r="30">
      <c r="A30" s="9" t="inlineStr">
        <is>
          <t>SPOT &lt; iQuote (count)</t>
        </is>
      </c>
      <c r="B30" s="7" t="n">
        <v>31</v>
      </c>
    </row>
    <row r="34">
      <c r="A34" s="1" t="inlineStr">
        <is>
          <t>Impact of CD-Freight Bug on Top-Line Stats</t>
        </is>
      </c>
    </row>
    <row r="35">
      <c r="A35" s="9" t="inlineStr">
        <is>
          <t>Metric</t>
        </is>
      </c>
      <c r="B35" s="9" t="inlineStr">
        <is>
          <t>All Quotes</t>
        </is>
      </c>
      <c r="C35" s="9" t="inlineStr">
        <is>
          <t>Excluding CD</t>
        </is>
      </c>
    </row>
    <row r="36">
      <c r="A36" s="9" t="inlineStr">
        <is>
          <t>Mean</t>
        </is>
      </c>
      <c r="B36" s="6" t="n">
        <v>22.63285956931678</v>
      </c>
      <c r="C36" s="6" t="n">
        <v>24.17834916307141</v>
      </c>
    </row>
    <row r="37">
      <c r="A37" s="9" t="inlineStr">
        <is>
          <t>Median</t>
        </is>
      </c>
      <c r="B37" s="6" t="n">
        <v>17.54961459831797</v>
      </c>
      <c r="C37" s="6" t="n">
        <v>18.55080876525157</v>
      </c>
    </row>
    <row r="38">
      <c r="A38" s="9" t="inlineStr">
        <is>
          <t>Std Dev</t>
        </is>
      </c>
      <c r="B38" s="6" t="n">
        <v>46.587356131939</v>
      </c>
      <c r="C38" s="6" t="n">
        <v>47.33803141050415</v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2026-09-01T12:26:57Z</dcterms:created>
  <dcterms:modified xmlns:dcterms="http://purl.org/dc/terms/" xmlns:xsi="http://www.w3.org/2001/XMLSchema-instance" xsi:type="dcterms:W3CDTF">2026-09-01T12:26:57Z</dcterms:modified>
</cp:coreProperties>
</file>