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-Type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;-0.00&quot;%&quot;;0.00&quot;%&quot;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Cut Only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Variance'!$A$14:$A$18</f>
            </numRef>
          </cat>
          <val>
            <numRef>
              <f>'Job-Type Variance'!$C$14:$C$18</f>
            </numRef>
          </val>
        </ser>
        <ser>
          <idx val="1"/>
          <order val="1"/>
          <tx>
            <strRef>
              <f>'Job-Type Variance'!D13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Variance'!$A$14:$A$18</f>
            </numRef>
          </cat>
          <val>
            <numRef>
              <f>'Job-Type Variance'!$D$14:$D$18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Variance'!$A$22:$A$26</f>
            </numRef>
          </cat>
          <val>
            <numRef>
              <f>'Job-Type Variance'!$C$22:$C$26</f>
            </numRef>
          </val>
        </ser>
        <ser>
          <idx val="1"/>
          <order val="1"/>
          <tx>
            <strRef>
              <f>'Job-Type Variance'!D21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Variance'!$A$22:$A$26</f>
            </numRef>
          </cat>
          <val>
            <numRef>
              <f>'Job-Type Variance'!$D$22:$D$26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+ Finishing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Variance'!$A$30:$A$34</f>
            </numRef>
          </cat>
          <val>
            <numRef>
              <f>'Job-Type Variance'!$C$30:$C$34</f>
            </numRef>
          </val>
        </ser>
        <ser>
          <idx val="1"/>
          <order val="1"/>
          <tx>
            <strRef>
              <f>'Job-Type Variance'!D29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Variance'!$A$30:$A$34</f>
            </numRef>
          </cat>
          <val>
            <numRef>
              <f>'Job-Type Variance'!$D$30:$D$34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— Median Variance % by Job Type ×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Variance'!$A$40:$A$44</f>
            </numRef>
          </cat>
          <val>
            <numRef>
              <f>'Job-Type Variance'!$B$40:$B$44</f>
            </numRef>
          </val>
        </ser>
        <ser>
          <idx val="1"/>
          <order val="1"/>
          <tx>
            <strRef>
              <f>'Job-Type Variance'!C39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Variance'!$A$40:$A$44</f>
            </numRef>
          </cat>
          <val>
            <numRef>
              <f>'Job-Type Variance'!$C$40:$C$44</f>
            </numRef>
          </val>
        </ser>
        <ser>
          <idx val="2"/>
          <order val="2"/>
          <tx>
            <strRef>
              <f>'Job-Type Variance'!D39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Variance'!$A$40:$A$44</f>
            </numRef>
          </cat>
          <val>
            <numRef>
              <f>'Job-Type Variance'!$D$40:$D$44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38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37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SPOT vs iQuote — Variance by Job Type × Qty Band</t>
        </is>
      </c>
    </row>
    <row r="2">
      <c r="A2" s="2" t="inlineStr">
        <is>
          <t>Component-level analysis. Job Type is determined per component from Print/Strip/Glue/Tape cost signals.</t>
        </is>
      </c>
    </row>
    <row r="3">
      <c r="A3" s="2" t="inlineStr">
        <is>
          <t>Filter: only the 110 estimates used in the Round 2 quote-total analysis. Any additional estimates in the SPOT export are excluded. -COPY duplicates dropped.</t>
        </is>
      </c>
    </row>
    <row r="5">
      <c r="A5" s="3" t="inlineStr">
        <is>
          <t>Component Counts by Job Type</t>
        </is>
      </c>
    </row>
    <row r="6">
      <c r="A6" s="4" t="inlineStr">
        <is>
          <t>Job Type</t>
        </is>
      </c>
      <c r="B6" s="4" t="inlineStr">
        <is>
          <t>Components</t>
        </is>
      </c>
      <c r="C6" s="4" t="inlineStr">
        <is>
          <t>Avg Variance %</t>
        </is>
      </c>
      <c r="D6" s="4" t="inlineStr">
        <is>
          <t>Median Variance %</t>
        </is>
      </c>
    </row>
    <row r="7">
      <c r="A7" s="5" t="inlineStr">
        <is>
          <t>Cut Only</t>
        </is>
      </c>
      <c r="B7" s="6" t="n">
        <v>33</v>
      </c>
      <c r="C7" s="7" t="n">
        <v>-9.067589664484244</v>
      </c>
      <c r="D7" s="7" t="n">
        <v>-17.30886024698022</v>
      </c>
    </row>
    <row r="8">
      <c r="A8" s="5" t="inlineStr">
        <is>
          <t>Print + Cut</t>
        </is>
      </c>
      <c r="B8" s="6" t="n">
        <v>163</v>
      </c>
      <c r="C8" s="7" t="n">
        <v>46.76731998679251</v>
      </c>
      <c r="D8" s="7" t="n">
        <v>16.69834322396075</v>
      </c>
    </row>
    <row r="9">
      <c r="A9" s="5" t="inlineStr">
        <is>
          <t>Print + Cut + Finishing</t>
        </is>
      </c>
      <c r="B9" s="6" t="n">
        <v>149</v>
      </c>
      <c r="C9" s="7" t="n">
        <v>48.06657298001199</v>
      </c>
      <c r="D9" s="7" t="n">
        <v>12.13252512607813</v>
      </c>
    </row>
    <row r="12">
      <c r="A12" s="3" t="inlineStr">
        <is>
          <t>Cut Only</t>
        </is>
      </c>
    </row>
    <row r="13">
      <c r="A13" s="4" t="inlineStr">
        <is>
          <t>Qty Band</t>
        </is>
      </c>
      <c r="B13" s="4" t="inlineStr">
        <is>
          <t>Count</t>
        </is>
      </c>
      <c r="C13" s="4" t="inlineStr">
        <is>
          <t>Avg Variance %</t>
        </is>
      </c>
      <c r="D13" s="4" t="inlineStr">
        <is>
          <t>Median Variance %</t>
        </is>
      </c>
    </row>
    <row r="14">
      <c r="A14" s="8" t="inlineStr">
        <is>
          <t>1-49</t>
        </is>
      </c>
      <c r="B14" s="6" t="n">
        <v>5</v>
      </c>
      <c r="C14" s="7" t="n">
        <v>-35.15844371221781</v>
      </c>
      <c r="D14" s="7" t="n">
        <v>-42.36647703150208</v>
      </c>
    </row>
    <row r="15">
      <c r="A15" s="8" t="inlineStr">
        <is>
          <t>50-199</t>
        </is>
      </c>
      <c r="B15" s="6" t="n">
        <v>12</v>
      </c>
      <c r="C15" s="7" t="n">
        <v>-35.48966219043867</v>
      </c>
      <c r="D15" s="7" t="n">
        <v>-43.88365680966977</v>
      </c>
    </row>
    <row r="16">
      <c r="A16" s="8" t="inlineStr">
        <is>
          <t>200-999</t>
        </is>
      </c>
      <c r="B16" s="6" t="n">
        <v>11</v>
      </c>
      <c r="C16" s="7" t="n">
        <v>14.82443935890438</v>
      </c>
      <c r="D16" s="7" t="n">
        <v>14.74339584593667</v>
      </c>
    </row>
    <row r="17">
      <c r="A17" s="8" t="inlineStr">
        <is>
          <t>1000-4999</t>
        </is>
      </c>
      <c r="B17" s="6" t="n">
        <v>1</v>
      </c>
      <c r="C17" s="7" t="n">
        <v>26.34415076163524</v>
      </c>
      <c r="D17" s="7" t="n">
        <v>26.34415076163524</v>
      </c>
    </row>
    <row r="18">
      <c r="A18" s="8" t="inlineStr">
        <is>
          <t>5000+</t>
        </is>
      </c>
      <c r="B18" s="6" t="n">
        <v>2</v>
      </c>
      <c r="C18" s="7" t="n">
        <v>65.57995076887907</v>
      </c>
      <c r="D18" s="7" t="n">
        <v>65.57995076887907</v>
      </c>
    </row>
    <row r="20">
      <c r="A20" s="3" t="inlineStr">
        <is>
          <t>Print + Cut</t>
        </is>
      </c>
    </row>
    <row r="21">
      <c r="A21" s="4" t="inlineStr">
        <is>
          <t>Qty Band</t>
        </is>
      </c>
      <c r="B21" s="4" t="inlineStr">
        <is>
          <t>Count</t>
        </is>
      </c>
      <c r="C21" s="4" t="inlineStr">
        <is>
          <t>Avg Variance %</t>
        </is>
      </c>
      <c r="D21" s="4" t="inlineStr">
        <is>
          <t>Median Variance %</t>
        </is>
      </c>
    </row>
    <row r="22">
      <c r="A22" s="8" t="inlineStr">
        <is>
          <t>1-49</t>
        </is>
      </c>
      <c r="B22" s="6" t="n">
        <v>32</v>
      </c>
      <c r="C22" s="7" t="n">
        <v>38.85861299391165</v>
      </c>
      <c r="D22" s="7" t="n">
        <v>31.33450911228687</v>
      </c>
    </row>
    <row r="23">
      <c r="A23" s="8" t="inlineStr">
        <is>
          <t>50-199</t>
        </is>
      </c>
      <c r="B23" s="6" t="n">
        <v>40</v>
      </c>
      <c r="C23" s="7" t="n">
        <v>13.86585970514355</v>
      </c>
      <c r="D23" s="7" t="n">
        <v>2.136834557088424</v>
      </c>
    </row>
    <row r="24">
      <c r="A24" s="8" t="inlineStr">
        <is>
          <t>200-999</t>
        </is>
      </c>
      <c r="B24" s="6" t="n">
        <v>63</v>
      </c>
      <c r="C24" s="7" t="n">
        <v>85.87719305098835</v>
      </c>
      <c r="D24" s="7" t="n">
        <v>21.02030599411455</v>
      </c>
    </row>
    <row r="25">
      <c r="A25" s="8" t="inlineStr">
        <is>
          <t>1000-4999</t>
        </is>
      </c>
      <c r="B25" s="6" t="n">
        <v>17</v>
      </c>
      <c r="C25" s="7" t="n">
        <v>-5.867089895924726</v>
      </c>
      <c r="D25" s="7" t="n">
        <v>-0.2414338578578431</v>
      </c>
    </row>
    <row r="26">
      <c r="A26" s="8" t="inlineStr">
        <is>
          <t>5000+</t>
        </is>
      </c>
      <c r="B26" s="6" t="n">
        <v>0</v>
      </c>
      <c r="C26" s="7" t="n"/>
      <c r="D26" s="7" t="n"/>
    </row>
    <row r="28">
      <c r="A28" s="3" t="inlineStr">
        <is>
          <t>Print + Cut + Finishing</t>
        </is>
      </c>
    </row>
    <row r="29">
      <c r="A29" s="4" t="inlineStr">
        <is>
          <t>Qty Band</t>
        </is>
      </c>
      <c r="B29" s="4" t="inlineStr">
        <is>
          <t>Count</t>
        </is>
      </c>
      <c r="C29" s="4" t="inlineStr">
        <is>
          <t>Avg Variance %</t>
        </is>
      </c>
      <c r="D29" s="4" t="inlineStr">
        <is>
          <t>Median Variance %</t>
        </is>
      </c>
    </row>
    <row r="30">
      <c r="A30" s="8" t="inlineStr">
        <is>
          <t>1-49</t>
        </is>
      </c>
      <c r="B30" s="6" t="n">
        <v>44</v>
      </c>
      <c r="C30" s="7" t="n">
        <v>37.68149248801947</v>
      </c>
      <c r="D30" s="7" t="n">
        <v>24.22502053035805</v>
      </c>
    </row>
    <row r="31">
      <c r="A31" s="8" t="inlineStr">
        <is>
          <t>50-199</t>
        </is>
      </c>
      <c r="B31" s="6" t="n">
        <v>28</v>
      </c>
      <c r="C31" s="7" t="n">
        <v>84.3371043183415</v>
      </c>
      <c r="D31" s="7" t="n">
        <v>23.55797371405345</v>
      </c>
    </row>
    <row r="32">
      <c r="A32" s="8" t="inlineStr">
        <is>
          <t>200-999</t>
        </is>
      </c>
      <c r="B32" s="6" t="n">
        <v>54</v>
      </c>
      <c r="C32" s="7" t="n">
        <v>46.12120696241699</v>
      </c>
      <c r="D32" s="7" t="n">
        <v>-0.303409883428303</v>
      </c>
    </row>
    <row r="33">
      <c r="A33" s="8" t="inlineStr">
        <is>
          <t>1000-4999</t>
        </is>
      </c>
      <c r="B33" s="6" t="n">
        <v>11</v>
      </c>
      <c r="C33" s="7" t="n">
        <v>28.09714022381896</v>
      </c>
      <c r="D33" s="7" t="n">
        <v>8.108483683442572</v>
      </c>
    </row>
    <row r="34">
      <c r="A34" s="8" t="inlineStr">
        <is>
          <t>5000+</t>
        </is>
      </c>
      <c r="B34" s="6" t="n">
        <v>3</v>
      </c>
      <c r="C34" s="7" t="n">
        <v>-29.90603053908892</v>
      </c>
      <c r="D34" s="7" t="n">
        <v>-29.74096082451276</v>
      </c>
    </row>
    <row r="38">
      <c r="A38" s="3" t="inlineStr">
        <is>
          <t>Combined — Median Variance % by Job Type × Qty Band</t>
        </is>
      </c>
    </row>
    <row r="39">
      <c r="A39" s="4" t="inlineStr">
        <is>
          <t>Qty Band</t>
        </is>
      </c>
      <c r="B39" s="4" t="inlineStr">
        <is>
          <t>Cut Only</t>
        </is>
      </c>
      <c r="C39" s="4" t="inlineStr">
        <is>
          <t>Print + Cut</t>
        </is>
      </c>
      <c r="D39" s="4" t="inlineStr">
        <is>
          <t>Print + Cut + Finishing</t>
        </is>
      </c>
    </row>
    <row r="40">
      <c r="A40" s="8" t="inlineStr">
        <is>
          <t>1-49</t>
        </is>
      </c>
      <c r="B40" s="7" t="n">
        <v>-42.36647703150208</v>
      </c>
      <c r="C40" s="7" t="n">
        <v>31.33450911228687</v>
      </c>
      <c r="D40" s="7" t="n">
        <v>24.22502053035805</v>
      </c>
    </row>
    <row r="41">
      <c r="A41" s="8" t="inlineStr">
        <is>
          <t>50-199</t>
        </is>
      </c>
      <c r="B41" s="7" t="n">
        <v>-43.88365680966977</v>
      </c>
      <c r="C41" s="7" t="n">
        <v>2.136834557088424</v>
      </c>
      <c r="D41" s="7" t="n">
        <v>23.55797371405345</v>
      </c>
    </row>
    <row r="42">
      <c r="A42" s="8" t="inlineStr">
        <is>
          <t>200-999</t>
        </is>
      </c>
      <c r="B42" s="7" t="n">
        <v>14.74339584593667</v>
      </c>
      <c r="C42" s="7" t="n">
        <v>21.02030599411455</v>
      </c>
      <c r="D42" s="7" t="n">
        <v>-0.303409883428303</v>
      </c>
    </row>
    <row r="43">
      <c r="A43" s="8" t="inlineStr">
        <is>
          <t>1000-4999</t>
        </is>
      </c>
      <c r="B43" s="7" t="n">
        <v>26.34415076163524</v>
      </c>
      <c r="C43" s="7" t="n">
        <v>-0.2414338578578431</v>
      </c>
      <c r="D43" s="7" t="n">
        <v>8.108483683442572</v>
      </c>
    </row>
    <row r="44">
      <c r="A44" s="8" t="inlineStr">
        <is>
          <t>5000+</t>
        </is>
      </c>
      <c r="B44" s="7" t="n">
        <v>65.57995076887907</v>
      </c>
      <c r="C44" s="7" t="n"/>
      <c r="D44" s="7" t="n">
        <v>-29.74096082451276</v>
      </c>
    </row>
  </sheetData>
  <mergeCells count="3">
    <mergeCell ref="A1:P1"/>
    <mergeCell ref="A3:P3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2026-09-01T10:58:10Z</dcterms:created>
  <dcterms:modified xmlns:dcterms="http://purl.org/dc/terms/" xmlns:xsi="http://www.w3.org/2001/XMLSchema-instance" xsi:type="dcterms:W3CDTF">2026-09-01T10:58:10Z</dcterms:modified>
</cp:coreProperties>
</file>