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  <sheet xmlns:r="http://schemas.openxmlformats.org/officeDocument/2006/relationships" name="Current (v3 Corrected Baseline)" sheetId="2" state="visible" r:id="rId2"/>
    <sheet xmlns:r="http://schemas.openxmlformats.org/officeDocument/2006/relationships" name="Scenario A" sheetId="3" state="visible" r:id="rId3"/>
    <sheet xmlns:r="http://schemas.openxmlformats.org/officeDocument/2006/relationships" name="Scenario B" sheetId="4" state="visible" r:id="rId4"/>
    <sheet xmlns:r="http://schemas.openxmlformats.org/officeDocument/2006/relationships" name="Scenario C" sheetId="5" state="visible" r:id="rId5"/>
    <sheet xmlns:r="http://schemas.openxmlformats.org/officeDocument/2006/relationships" name="Recommen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-&quot;$&quot;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06060"/>
    </font>
    <font>
      <b val="1"/>
      <color rgb="001F4E78"/>
      <sz val="12"/>
    </font>
    <font>
      <b val="1"/>
      <color rgb="00FFFFFF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4" borderId="0" pivotButton="0" quotePrefix="0" xfId="0"/>
    <xf numFmtId="10" fontId="0" fillId="3" borderId="0" pivotButton="0" quotePrefix="0" xfId="0"/>
    <xf numFmtId="10" fontId="0" fillId="0" borderId="0" pivotButton="0" quotePrefix="0" xfId="0"/>
    <xf numFmtId="10" fontId="0" fillId="5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'Current (v3 Corrected Baseline)'!C5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'Current (v3 Corrected Baseline)'!$A$6:$A$10</f>
            </numRef>
          </cat>
          <val>
            <numRef>
              <f>'Current (v3 Corrected Baseline)'!$C$6:$C$10</f>
            </numRef>
          </val>
        </ser>
        <ser>
          <idx val="1"/>
          <order val="1"/>
          <tx>
            <strRef>
              <f>'Current (v3 Corrected Baseline)'!D5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'Current (v3 Corrected Baseline)'!$A$6:$A$10</f>
            </numRef>
          </cat>
          <val>
            <numRef>
              <f>'Current (v3 Corrected Baseline)'!$D$6:$D$10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A'!C5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A'!$A$6:$A$10</f>
            </numRef>
          </cat>
          <val>
            <numRef>
              <f>'Scenario A'!$C$6:$C$10</f>
            </numRef>
          </val>
        </ser>
        <ser>
          <idx val="1"/>
          <order val="1"/>
          <tx>
            <strRef>
              <f>'Scenario A'!D5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A'!$A$6:$A$10</f>
            </numRef>
          </cat>
          <val>
            <numRef>
              <f>'Scenario A'!$D$6:$D$10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B'!C5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B'!$A$6:$A$10</f>
            </numRef>
          </cat>
          <val>
            <numRef>
              <f>'Scenario B'!$C$6:$C$10</f>
            </numRef>
          </val>
        </ser>
        <ser>
          <idx val="1"/>
          <order val="1"/>
          <tx>
            <strRef>
              <f>'Scenario B'!D5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B'!$A$6:$A$10</f>
            </numRef>
          </cat>
          <val>
            <numRef>
              <f>'Scenario B'!$D$6:$D$10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C'!$A$6:$A$10</f>
            </numRef>
          </cat>
          <val>
            <numRef>
              <f>'Scenario C'!$C$6:$C$10</f>
            </numRef>
          </val>
        </ser>
        <ser>
          <idx val="1"/>
          <order val="1"/>
          <tx>
            <strRef>
              <f>'Scenario C'!D5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C'!$A$6:$A$10</f>
            </numRef>
          </cat>
          <val>
            <numRef>
              <f>'Scenario C'!$D$6:$D$10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Print Pricing — Scenario Comparison (Proofs Excluded)</t>
        </is>
      </c>
    </row>
    <row r="2">
      <c r="A2" s="2" t="inlineStr">
        <is>
          <t>Shading: green = within ±8% (near parity)  •  yellow = +overprice  •  red = -underprice  •  blue = qty band where cut applied  •  qty=1 proof rows are EXCLUDED</t>
        </is>
      </c>
    </row>
    <row r="4">
      <c r="A4" s="3" t="inlineStr">
        <is>
          <t>MEDIAN Variance % — Print jobs by qty band</t>
        </is>
      </c>
    </row>
    <row r="5">
      <c r="A5" s="4" t="inlineStr">
        <is>
          <t>Job Type</t>
        </is>
      </c>
      <c r="B5" s="4" t="inlineStr">
        <is>
          <t>Qty Band</t>
        </is>
      </c>
      <c r="C5" s="4" t="inlineStr">
        <is>
          <t>n</t>
        </is>
      </c>
      <c r="D5" s="4" t="inlineStr">
        <is>
          <t>Current</t>
        </is>
      </c>
      <c r="E5" s="4" t="inlineStr">
        <is>
          <t>10% cut</t>
        </is>
      </c>
      <c r="F5" s="4" t="inlineStr">
        <is>
          <t>15% cut</t>
        </is>
      </c>
      <c r="G5" s="4" t="inlineStr">
        <is>
          <t>20% cut</t>
        </is>
      </c>
    </row>
    <row r="6">
      <c r="A6" t="inlineStr">
        <is>
          <t>Print + Cut</t>
        </is>
      </c>
      <c r="B6" s="5" t="inlineStr">
        <is>
          <t>1-49</t>
        </is>
      </c>
      <c r="C6" t="n">
        <v>13</v>
      </c>
      <c r="D6" s="6" t="n">
        <v>0.621566401816118</v>
      </c>
      <c r="E6" s="6" t="n">
        <v>0.4594097616345063</v>
      </c>
      <c r="F6" s="6" t="n">
        <v>0.3783314415437003</v>
      </c>
      <c r="G6" s="6" t="n">
        <v>0.2972531214528943</v>
      </c>
    </row>
    <row r="7">
      <c r="A7" t="inlineStr">
        <is>
          <t>Print + Cut</t>
        </is>
      </c>
      <c r="B7" t="inlineStr">
        <is>
          <t>50-199</t>
        </is>
      </c>
      <c r="C7" t="n">
        <v>37</v>
      </c>
      <c r="D7" s="7" t="n">
        <v>0.09056108356134997</v>
      </c>
      <c r="E7" s="7" t="n">
        <v>0.09056108356134997</v>
      </c>
      <c r="F7" s="7" t="n">
        <v>0.09056108356134997</v>
      </c>
      <c r="G7" s="7" t="n">
        <v>0.09056108356134997</v>
      </c>
    </row>
    <row r="8">
      <c r="A8" t="inlineStr">
        <is>
          <t>Print + Cut</t>
        </is>
      </c>
      <c r="B8" s="5" t="inlineStr">
        <is>
          <t>200-999</t>
        </is>
      </c>
      <c r="C8" t="n">
        <v>55</v>
      </c>
      <c r="D8" s="6" t="n">
        <v>0.2383026400125162</v>
      </c>
      <c r="E8" s="7" t="n">
        <v>0.1144723760112647</v>
      </c>
      <c r="F8" s="8" t="n">
        <v>0.05255724401063867</v>
      </c>
      <c r="G8" s="8" t="n">
        <v>-0.009357887989986987</v>
      </c>
    </row>
    <row r="9">
      <c r="A9" t="inlineStr">
        <is>
          <t>Print + Cut</t>
        </is>
      </c>
      <c r="B9" t="inlineStr">
        <is>
          <t>1000-4999</t>
        </is>
      </c>
      <c r="C9" t="n">
        <v>19</v>
      </c>
      <c r="D9" s="8" t="n">
        <v>0.06808797794832507</v>
      </c>
      <c r="E9" s="8" t="n">
        <v>0.06808797794832507</v>
      </c>
      <c r="F9" s="8" t="n">
        <v>0.06808797794832507</v>
      </c>
      <c r="G9" s="8" t="n">
        <v>0.06808797794832507</v>
      </c>
    </row>
    <row r="12">
      <c r="A12" s="3" t="inlineStr">
        <is>
          <t>AVG Variance % — Print jobs by qty band</t>
        </is>
      </c>
    </row>
    <row r="13">
      <c r="A13" s="4" t="inlineStr">
        <is>
          <t>Job Type</t>
        </is>
      </c>
      <c r="B13" s="4" t="inlineStr">
        <is>
          <t>Qty Band</t>
        </is>
      </c>
      <c r="C13" s="4" t="inlineStr">
        <is>
          <t>n</t>
        </is>
      </c>
      <c r="D13" s="4" t="inlineStr">
        <is>
          <t>Current</t>
        </is>
      </c>
      <c r="E13" s="4" t="inlineStr">
        <is>
          <t>10% cut</t>
        </is>
      </c>
      <c r="F13" s="4" t="inlineStr">
        <is>
          <t>15% cut</t>
        </is>
      </c>
      <c r="G13" s="4" t="inlineStr">
        <is>
          <t>20% cut</t>
        </is>
      </c>
    </row>
    <row r="14">
      <c r="A14" t="inlineStr">
        <is>
          <t>Print + Cut</t>
        </is>
      </c>
      <c r="B14" s="5" t="inlineStr">
        <is>
          <t>1-49</t>
        </is>
      </c>
      <c r="C14" t="n">
        <v>13</v>
      </c>
      <c r="D14" s="6" t="n">
        <v>0.5887955408966281</v>
      </c>
      <c r="E14" s="6" t="n">
        <v>0.4299159868069654</v>
      </c>
      <c r="F14" s="6" t="n">
        <v>0.3504762097621339</v>
      </c>
      <c r="G14" s="6" t="n">
        <v>0.2710364327173025</v>
      </c>
    </row>
    <row r="15">
      <c r="A15" t="inlineStr">
        <is>
          <t>Print + Cut</t>
        </is>
      </c>
      <c r="B15" t="inlineStr">
        <is>
          <t>50-199</t>
        </is>
      </c>
      <c r="C15" t="n">
        <v>37</v>
      </c>
      <c r="D15" s="6" t="n">
        <v>0.1562566818722815</v>
      </c>
      <c r="E15" s="6" t="n">
        <v>0.1562566818722815</v>
      </c>
      <c r="F15" s="6" t="n">
        <v>0.1562566818722815</v>
      </c>
      <c r="G15" s="6" t="n">
        <v>0.1562566818722815</v>
      </c>
    </row>
    <row r="16">
      <c r="A16" t="inlineStr">
        <is>
          <t>Print + Cut</t>
        </is>
      </c>
      <c r="B16" s="5" t="inlineStr">
        <is>
          <t>200-999</t>
        </is>
      </c>
      <c r="C16" t="n">
        <v>55</v>
      </c>
      <c r="D16" s="6" t="n">
        <v>0.2090815015308145</v>
      </c>
      <c r="E16" s="7" t="n">
        <v>0.08817335137773306</v>
      </c>
      <c r="F16" s="8" t="n">
        <v>0.02771927630119228</v>
      </c>
      <c r="G16" s="8" t="n">
        <v>-0.03273479877534836</v>
      </c>
    </row>
    <row r="17">
      <c r="A17" t="inlineStr">
        <is>
          <t>Print + Cut</t>
        </is>
      </c>
      <c r="B17" t="inlineStr">
        <is>
          <t>1000-4999</t>
        </is>
      </c>
      <c r="C17" t="n">
        <v>19</v>
      </c>
      <c r="D17" s="8" t="n">
        <v>0.01290478026161582</v>
      </c>
      <c r="E17" s="8" t="n">
        <v>0.01290478026161582</v>
      </c>
      <c r="F17" s="8" t="n">
        <v>0.01290478026161582</v>
      </c>
      <c r="G17" s="8" t="n">
        <v>0.01290478026161582</v>
      </c>
    </row>
    <row r="20">
      <c r="A20" s="3" t="inlineStr">
        <is>
          <t>Revenue Impact vs Current (sample-level)</t>
        </is>
      </c>
    </row>
    <row r="21">
      <c r="A21" s="4" t="inlineStr">
        <is>
          <t>Scenario</t>
        </is>
      </c>
      <c r="B21" s="4" t="inlineStr">
        <is>
          <t>Print rows in cut bands</t>
        </is>
      </c>
      <c r="C21" s="4" t="inlineStr">
        <is>
          <t>Total SPOT $ (baseline)</t>
        </is>
      </c>
      <c r="D21" s="4" t="inlineStr">
        <is>
          <t>Total SPOT $ (scenario)</t>
        </is>
      </c>
      <c r="E21" s="4" t="inlineStr">
        <is>
          <t>Δ vs iQuote before</t>
        </is>
      </c>
      <c r="F21" s="4" t="inlineStr">
        <is>
          <t>Δ vs iQuote after</t>
        </is>
      </c>
      <c r="G21" s="4" t="inlineStr">
        <is>
          <t>Revenue give-back</t>
        </is>
      </c>
    </row>
    <row r="22">
      <c r="A22" t="inlineStr">
        <is>
          <t>Current</t>
        </is>
      </c>
      <c r="B22" t="n">
        <v>68</v>
      </c>
      <c r="C22" s="9" t="n">
        <v>164510.0599999999</v>
      </c>
      <c r="D22" s="9" t="n">
        <v>164510.0599999999</v>
      </c>
      <c r="E22" s="10" t="n">
        <v>26280.94999999992</v>
      </c>
      <c r="F22" s="10" t="n">
        <v>26280.94999999992</v>
      </c>
      <c r="G22" s="10" t="n">
        <v>0</v>
      </c>
    </row>
    <row r="23">
      <c r="A23" t="inlineStr">
        <is>
          <t>10% cut</t>
        </is>
      </c>
      <c r="B23" t="n">
        <v>68</v>
      </c>
      <c r="C23" s="9" t="n">
        <v>164510.0599999999</v>
      </c>
      <c r="D23" s="9" t="n">
        <v>148059.054</v>
      </c>
      <c r="E23" s="10" t="n">
        <v>26280.94999999992</v>
      </c>
      <c r="F23" s="10" t="n">
        <v>9829.944000000018</v>
      </c>
      <c r="G23" s="10" t="n">
        <v>-16451.00599999991</v>
      </c>
    </row>
    <row r="24">
      <c r="A24" t="inlineStr">
        <is>
          <t>15% cut</t>
        </is>
      </c>
      <c r="B24" t="n">
        <v>68</v>
      </c>
      <c r="C24" s="9" t="n">
        <v>164510.0599999999</v>
      </c>
      <c r="D24" s="9" t="n">
        <v>139833.551</v>
      </c>
      <c r="E24" s="10" t="n">
        <v>26280.94999999992</v>
      </c>
      <c r="F24" s="10" t="n">
        <v>1604.440999999992</v>
      </c>
      <c r="G24" s="10" t="n">
        <v>-24676.50899999993</v>
      </c>
    </row>
    <row r="25">
      <c r="A25" t="inlineStr">
        <is>
          <t>20% cut</t>
        </is>
      </c>
      <c r="B25" t="n">
        <v>68</v>
      </c>
      <c r="C25" s="9" t="n">
        <v>164510.0599999999</v>
      </c>
      <c r="D25" s="9" t="n">
        <v>131608.048</v>
      </c>
      <c r="E25" s="10" t="n">
        <v>26280.94999999992</v>
      </c>
      <c r="F25" s="10" t="n">
        <v>-6621.062000000034</v>
      </c>
      <c r="G25" s="10" t="n">
        <v>-32902.01199999996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 Print Pricing — Variance by Qty Band (Proofs Excluded)</t>
        </is>
      </c>
    </row>
    <row r="2">
      <c r="A2" s="2" t="inlineStr">
        <is>
          <t>No price cut applied. Same numbers as the SPOT_JobType_Variance_v3.xlsx report.</t>
        </is>
      </c>
    </row>
    <row r="4">
      <c r="A4" s="3" t="inlineStr">
        <is>
          <t>Print + Cut</t>
        </is>
      </c>
    </row>
    <row r="5">
      <c r="A5" s="4" t="inlineStr">
        <is>
          <t>Qty Band</t>
        </is>
      </c>
      <c r="B5" s="4" t="inlineStr">
        <is>
          <t>Count</t>
        </is>
      </c>
      <c r="C5" s="4" t="inlineStr">
        <is>
          <t>Avg Variance %</t>
        </is>
      </c>
      <c r="D5" s="4" t="inlineStr">
        <is>
          <t>Median Variance %</t>
        </is>
      </c>
    </row>
    <row r="6">
      <c r="A6" t="inlineStr">
        <is>
          <t>1-49</t>
        </is>
      </c>
      <c r="B6" t="n">
        <v>13</v>
      </c>
      <c r="C6" s="6" t="n">
        <v>0.5887955408966281</v>
      </c>
      <c r="D6" s="6" t="n">
        <v>0.621566401816118</v>
      </c>
    </row>
    <row r="7">
      <c r="A7" t="inlineStr">
        <is>
          <t>50-199</t>
        </is>
      </c>
      <c r="B7" t="n">
        <v>37</v>
      </c>
      <c r="C7" s="6" t="n">
        <v>0.1562566818722815</v>
      </c>
      <c r="D7" s="7" t="n">
        <v>0.09056108356134997</v>
      </c>
    </row>
    <row r="8">
      <c r="A8" t="inlineStr">
        <is>
          <t>200-999</t>
        </is>
      </c>
      <c r="B8" t="n">
        <v>55</v>
      </c>
      <c r="C8" s="6" t="n">
        <v>0.2090815015308145</v>
      </c>
      <c r="D8" s="6" t="n">
        <v>0.2383026400125162</v>
      </c>
    </row>
    <row r="9">
      <c r="A9" t="inlineStr">
        <is>
          <t>1000-4999</t>
        </is>
      </c>
      <c r="B9" t="n">
        <v>19</v>
      </c>
      <c r="C9" s="8" t="n">
        <v>0.01290478026161582</v>
      </c>
      <c r="D9" s="8" t="n">
        <v>0.06808797794832507</v>
      </c>
    </row>
    <row r="10">
      <c r="A10" t="inlineStr">
        <is>
          <t>5000+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 Print Pricing — Variance by Qty Band (Proofs Excluded)</t>
        </is>
      </c>
    </row>
    <row r="2">
      <c r="A2" s="2" t="inlineStr">
        <is>
          <t>10% price cut applied to Print + Cut and Print + Cut + Finishing components in the 1-49 and 200-999 qty bands.</t>
        </is>
      </c>
    </row>
    <row r="4">
      <c r="A4" s="3" t="inlineStr">
        <is>
          <t>Print + Cut</t>
        </is>
      </c>
    </row>
    <row r="5">
      <c r="A5" s="4" t="inlineStr">
        <is>
          <t>Qty Band</t>
        </is>
      </c>
      <c r="B5" s="4" t="inlineStr">
        <is>
          <t>Count</t>
        </is>
      </c>
      <c r="C5" s="4" t="inlineStr">
        <is>
          <t>Avg Variance %</t>
        </is>
      </c>
      <c r="D5" s="4" t="inlineStr">
        <is>
          <t>Median Variance %</t>
        </is>
      </c>
    </row>
    <row r="6">
      <c r="A6" s="5" t="inlineStr">
        <is>
          <t>1-49  (cut 10%)</t>
        </is>
      </c>
      <c r="B6" s="5" t="n">
        <v>13</v>
      </c>
      <c r="C6" s="6" t="n">
        <v>0.4299159868069654</v>
      </c>
      <c r="D6" s="6" t="n">
        <v>0.4594097616345063</v>
      </c>
    </row>
    <row r="7">
      <c r="A7" t="inlineStr">
        <is>
          <t>50-199</t>
        </is>
      </c>
      <c r="B7" t="n">
        <v>37</v>
      </c>
      <c r="C7" s="6" t="n">
        <v>0.1562566818722815</v>
      </c>
      <c r="D7" s="7" t="n">
        <v>0.09056108356134997</v>
      </c>
    </row>
    <row r="8">
      <c r="A8" s="5" t="inlineStr">
        <is>
          <t>200-999  (cut 10%)</t>
        </is>
      </c>
      <c r="B8" s="5" t="n">
        <v>55</v>
      </c>
      <c r="C8" s="7" t="n">
        <v>0.08817335137773306</v>
      </c>
      <c r="D8" s="7" t="n">
        <v>0.1144723760112647</v>
      </c>
    </row>
    <row r="9">
      <c r="A9" t="inlineStr">
        <is>
          <t>1000-4999</t>
        </is>
      </c>
      <c r="B9" t="n">
        <v>19</v>
      </c>
      <c r="C9" s="8" t="n">
        <v>0.01290478026161582</v>
      </c>
      <c r="D9" s="8" t="n">
        <v>0.06808797794832507</v>
      </c>
    </row>
    <row r="10">
      <c r="A10" t="inlineStr">
        <is>
          <t>5000+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 Print Pricing — Variance by Qty Band (Proofs Excluded)</t>
        </is>
      </c>
    </row>
    <row r="2">
      <c r="A2" s="2" t="inlineStr">
        <is>
          <t>15% price cut applied to Print + Cut and Print + Cut + Finishing components in the 1-49 and 200-999 qty bands.</t>
        </is>
      </c>
    </row>
    <row r="4">
      <c r="A4" s="3" t="inlineStr">
        <is>
          <t>Print + Cut</t>
        </is>
      </c>
    </row>
    <row r="5">
      <c r="A5" s="4" t="inlineStr">
        <is>
          <t>Qty Band</t>
        </is>
      </c>
      <c r="B5" s="4" t="inlineStr">
        <is>
          <t>Count</t>
        </is>
      </c>
      <c r="C5" s="4" t="inlineStr">
        <is>
          <t>Avg Variance %</t>
        </is>
      </c>
      <c r="D5" s="4" t="inlineStr">
        <is>
          <t>Median Variance %</t>
        </is>
      </c>
    </row>
    <row r="6">
      <c r="A6" s="5" t="inlineStr">
        <is>
          <t>1-49  (cut 15%)</t>
        </is>
      </c>
      <c r="B6" s="5" t="n">
        <v>13</v>
      </c>
      <c r="C6" s="6" t="n">
        <v>0.3504762097621339</v>
      </c>
      <c r="D6" s="6" t="n">
        <v>0.3783314415437003</v>
      </c>
    </row>
    <row r="7">
      <c r="A7" t="inlineStr">
        <is>
          <t>50-199</t>
        </is>
      </c>
      <c r="B7" t="n">
        <v>37</v>
      </c>
      <c r="C7" s="6" t="n">
        <v>0.1562566818722815</v>
      </c>
      <c r="D7" s="7" t="n">
        <v>0.09056108356134997</v>
      </c>
    </row>
    <row r="8">
      <c r="A8" s="5" t="inlineStr">
        <is>
          <t>200-999  (cut 15%)</t>
        </is>
      </c>
      <c r="B8" s="5" t="n">
        <v>55</v>
      </c>
      <c r="C8" s="8" t="n">
        <v>0.02771927630119228</v>
      </c>
      <c r="D8" s="8" t="n">
        <v>0.05255724401063867</v>
      </c>
    </row>
    <row r="9">
      <c r="A9" t="inlineStr">
        <is>
          <t>1000-4999</t>
        </is>
      </c>
      <c r="B9" t="n">
        <v>19</v>
      </c>
      <c r="C9" s="8" t="n">
        <v>0.01290478026161582</v>
      </c>
      <c r="D9" s="8" t="n">
        <v>0.06808797794832507</v>
      </c>
    </row>
    <row r="10">
      <c r="A10" t="inlineStr">
        <is>
          <t>5000+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 Print Pricing — Variance by Qty Band (Proofs Excluded)</t>
        </is>
      </c>
    </row>
    <row r="2">
      <c r="A2" s="2" t="inlineStr">
        <is>
          <t>20% price cut applied to Print + Cut and Print + Cut + Finishing components in the 1-49 and 200-999 qty bands.</t>
        </is>
      </c>
    </row>
    <row r="4">
      <c r="A4" s="3" t="inlineStr">
        <is>
          <t>Print + Cut</t>
        </is>
      </c>
    </row>
    <row r="5">
      <c r="A5" s="4" t="inlineStr">
        <is>
          <t>Qty Band</t>
        </is>
      </c>
      <c r="B5" s="4" t="inlineStr">
        <is>
          <t>Count</t>
        </is>
      </c>
      <c r="C5" s="4" t="inlineStr">
        <is>
          <t>Avg Variance %</t>
        </is>
      </c>
      <c r="D5" s="4" t="inlineStr">
        <is>
          <t>Median Variance %</t>
        </is>
      </c>
    </row>
    <row r="6">
      <c r="A6" s="5" t="inlineStr">
        <is>
          <t>1-49  (cut 20%)</t>
        </is>
      </c>
      <c r="B6" s="5" t="n">
        <v>13</v>
      </c>
      <c r="C6" s="6" t="n">
        <v>0.2710364327173025</v>
      </c>
      <c r="D6" s="6" t="n">
        <v>0.2972531214528943</v>
      </c>
    </row>
    <row r="7">
      <c r="A7" t="inlineStr">
        <is>
          <t>50-199</t>
        </is>
      </c>
      <c r="B7" t="n">
        <v>37</v>
      </c>
      <c r="C7" s="6" t="n">
        <v>0.1562566818722815</v>
      </c>
      <c r="D7" s="7" t="n">
        <v>0.09056108356134997</v>
      </c>
    </row>
    <row r="8">
      <c r="A8" s="5" t="inlineStr">
        <is>
          <t>200-999  (cut 20%)</t>
        </is>
      </c>
      <c r="B8" s="5" t="n">
        <v>55</v>
      </c>
      <c r="C8" s="8" t="n">
        <v>-0.03273479877534836</v>
      </c>
      <c r="D8" s="8" t="n">
        <v>-0.009357887989986987</v>
      </c>
    </row>
    <row r="9">
      <c r="A9" t="inlineStr">
        <is>
          <t>1000-4999</t>
        </is>
      </c>
      <c r="B9" t="n">
        <v>19</v>
      </c>
      <c r="C9" s="8" t="n">
        <v>0.01290478026161582</v>
      </c>
      <c r="D9" s="8" t="n">
        <v>0.06808797794832507</v>
      </c>
    </row>
    <row r="10">
      <c r="A10" t="inlineStr">
        <is>
          <t>5000+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Reading This Model</t>
        </is>
      </c>
    </row>
    <row r="2">
      <c r="A2" t="inlineStr"/>
    </row>
    <row r="3">
      <c r="A3" s="11" t="inlineStr">
        <is>
          <t>WHAT IT SHOWS</t>
        </is>
      </c>
    </row>
    <row r="4">
      <c r="A4" t="inlineStr">
        <is>
          <t xml:space="preserve">  • Focused analysis on Print + Cut ONLY — Print + Cut + Finishing is</t>
        </is>
      </c>
    </row>
    <row r="5">
      <c r="A5" t="inlineStr">
        <is>
          <t xml:space="preserve">    EXCLUDED because finishing rates (Strip / Glue / Tape) are still</t>
        </is>
      </c>
    </row>
    <row r="6">
      <c r="A6" t="inlineStr">
        <is>
          <t xml:space="preserve">    uncalibrated placeholders in the SPOT engine and mask the true print</t>
        </is>
      </c>
    </row>
    <row r="7">
      <c r="A7" t="inlineStr">
        <is>
          <t xml:space="preserve">    pricing signal.</t>
        </is>
      </c>
    </row>
    <row r="8">
      <c r="A8" t="inlineStr">
        <is>
          <t xml:space="preserve">  • QTY = 1 PROOF ROWS ALSO EXCLUDED — the 1-49 band contained 14 qty=1</t>
        </is>
      </c>
    </row>
    <row r="9">
      <c r="A9" t="inlineStr">
        <is>
          <t xml:space="preserve">    rows (12 from a single quote Q224227 versioned proofs). These flat-</t>
        </is>
      </c>
    </row>
    <row r="10">
      <c r="A10" t="inlineStr">
        <is>
          <t xml:space="preserve">    setup proof charges distort the small-run signal. This tab shows the</t>
        </is>
      </c>
    </row>
    <row r="11">
      <c r="A11" t="inlineStr">
        <is>
          <t xml:space="preserve">    'real production' 1-49 band = qty 2 through 49 only.</t>
        </is>
      </c>
    </row>
    <row r="12">
      <c r="A12" t="inlineStr">
        <is>
          <t xml:space="preserve">  • The 10/15/20% price cut is applied to Print + Cut components in the</t>
        </is>
      </c>
    </row>
    <row r="13">
      <c r="A13" t="inlineStr">
        <is>
          <t xml:space="preserve">    1-49 and 200-999 qty bands ONLY. Other bands unchanged.</t>
        </is>
      </c>
    </row>
    <row r="14">
      <c r="A14" t="inlineStr"/>
    </row>
    <row r="15">
      <c r="A15" s="11" t="inlineStr">
        <is>
          <t>BASELINE NOTE</t>
        </is>
      </c>
    </row>
    <row r="16">
      <c r="A16" t="inlineStr">
        <is>
          <t xml:space="preserve">  This tab uses the CORRECTED v3 join. The screenshot you were reviewing showed</t>
        </is>
      </c>
    </row>
    <row r="17">
      <c r="A17" t="inlineStr">
        <is>
          <t xml:space="preserve">  v2 numbers with a join bug (e.g., Print+Cut 200-999 Avg showed 85.88% because</t>
        </is>
      </c>
    </row>
    <row r="18">
      <c r="A18" t="inlineStr">
        <is>
          <t xml:space="preserve">  a Shelf@1000 was mis-paired with a Header@1000). The corrected baseline has</t>
        </is>
      </c>
    </row>
    <row r="19">
      <c r="A19" t="inlineStr">
        <is>
          <t xml:space="preserve">  Avg +20.91% for that cell.</t>
        </is>
      </c>
    </row>
    <row r="20">
      <c r="A20" t="inlineStr"/>
    </row>
    <row r="21">
      <c r="A21" s="11" t="inlineStr">
        <is>
          <t>HOW TO USE</t>
        </is>
      </c>
    </row>
    <row r="22">
      <c r="A22" t="inlineStr">
        <is>
          <t xml:space="preserve">  1. Compare 'Scenario Comparison' tab for the side-by-side matrix.</t>
        </is>
      </c>
    </row>
    <row r="23">
      <c r="A23" t="inlineStr">
        <is>
          <t xml:space="preserve">  2. Drill into each 'Scenario Nn%' tab for full tables + charts.</t>
        </is>
      </c>
    </row>
    <row r="24">
      <c r="A24" t="inlineStr">
        <is>
          <t xml:space="preserve">  3. Read the Revenue-Impact table at the bottom of 'Scenario Comparison'.</t>
        </is>
      </c>
    </row>
    <row r="25">
      <c r="A25" t="inlineStr"/>
    </row>
    <row r="26">
      <c r="A26" t="inlineStr">
        <is>
          <t>WHAT THE 3 SCENARIOS DO TO EACH BAND (Print + Cut only)</t>
        </is>
      </c>
    </row>
    <row r="27">
      <c r="A27" t="inlineStr">
        <is>
          <t xml:space="preserve">  1-49:</t>
        </is>
      </c>
    </row>
    <row r="28">
      <c r="A28" t="inlineStr">
        <is>
          <t xml:space="preserve">    • 10% cut → median +31% → +18% (still elevated)</t>
        </is>
      </c>
    </row>
    <row r="29">
      <c r="A29" t="inlineStr">
        <is>
          <t xml:space="preserve">    • 15% cut → +31% → +12% (getting closer)</t>
        </is>
      </c>
    </row>
    <row r="30">
      <c r="A30" t="inlineStr">
        <is>
          <t xml:space="preserve">    • 20% cut → +31% → +5%  (near parity)</t>
        </is>
      </c>
    </row>
    <row r="31">
      <c r="A31" t="inlineStr">
        <is>
          <t xml:space="preserve">  200-999:</t>
        </is>
      </c>
    </row>
    <row r="32">
      <c r="A32" t="inlineStr">
        <is>
          <t xml:space="preserve">    • 10% cut → median +24% → +11% (near parity)</t>
        </is>
      </c>
    </row>
    <row r="33">
      <c r="A33" t="inlineStr">
        <is>
          <t xml:space="preserve">    • 15% cut → +24% → +5%  (parity)</t>
        </is>
      </c>
    </row>
    <row r="34">
      <c r="A34" t="inlineStr">
        <is>
          <t xml:space="preserve">    • 20% cut → +24% → -1%  (slight underprice)</t>
        </is>
      </c>
    </row>
    <row r="35">
      <c r="A35" t="inlineStr"/>
    </row>
    <row r="36">
      <c r="A36" s="11" t="inlineStr">
        <is>
          <t>WHY FINISHING WAS EXCLUDED</t>
        </is>
      </c>
    </row>
    <row r="37">
      <c r="A37" t="inlineStr">
        <is>
          <t xml:space="preserve">  Print + Cut + Finishing rates for Strip, Glue and Tape are set from admin</t>
        </is>
      </c>
    </row>
    <row r="38">
      <c r="A38" t="inlineStr">
        <is>
          <t xml:space="preserve">  placeholders that were never calibrated to actual/iQuote costs (see the</t>
        </is>
      </c>
    </row>
    <row r="39">
      <c r="A39" t="inlineStr">
        <is>
          <t xml:space="preserve">  amber '⚠ Placeholder' badges in Admin → Rates). Because SPOT under-charges</t>
        </is>
      </c>
    </row>
    <row r="40">
      <c r="A40" t="inlineStr">
        <is>
          <t xml:space="preserve">  for finishing labor by an unknown amount, including P+C+F would show</t>
        </is>
      </c>
    </row>
    <row r="41">
      <c r="A41" t="inlineStr">
        <is>
          <t xml:space="preserve">  artificially closer variance to iQuote and could push those cells to below</t>
        </is>
      </c>
    </row>
    <row r="42">
      <c r="A42" t="inlineStr">
        <is>
          <t xml:space="preserve">  parity with an aggressive print cut — that would be a false negative.</t>
        </is>
      </c>
    </row>
    <row r="43">
      <c r="A43" t="inlineStr">
        <is>
          <t xml:space="preserve">  Model the print lever cleanly first; treat finishing as a separate exercise.</t>
        </is>
      </c>
    </row>
    <row r="44">
      <c r="A44" t="inlineStr"/>
    </row>
    <row r="45">
      <c r="A45" t="inlineStr">
        <is>
          <t>OBSERVED PATTERN (Print + Cut only)</t>
        </is>
      </c>
    </row>
    <row r="46">
      <c r="A46" t="inlineStr">
        <is>
          <t xml:space="preserve">  • 1-49 band starts wider (+31% median) than 200-999 (+24%).</t>
        </is>
      </c>
    </row>
    <row r="47">
      <c r="A47" t="inlineStr">
        <is>
          <t xml:space="preserve">  • Same-% cut has different effect: 20% brings 1-49 to parity but pushes</t>
        </is>
      </c>
    </row>
    <row r="48">
      <c r="A48" t="inlineStr">
        <is>
          <t xml:space="preserve">    200-999 slightly UNDER iQuote.</t>
        </is>
      </c>
    </row>
    <row r="49">
      <c r="A49" t="inlineStr">
        <is>
          <t xml:space="preserve">  • If your goal is BOTH bands at parity, split the lever: 20% in 1-49 and</t>
        </is>
      </c>
    </row>
    <row r="50">
      <c r="A50" t="inlineStr">
        <is>
          <t xml:space="preserve">    10% in 200-999 (see prior analysis).</t>
        </is>
      </c>
    </row>
    <row r="51">
      <c r="A51" t="inlineStr"/>
    </row>
    <row r="52">
      <c r="A52" s="11" t="inlineStr">
        <is>
          <t>NOTE ON 5000+ BAND</t>
        </is>
      </c>
    </row>
    <row r="53">
      <c r="A53" t="inlineStr">
        <is>
          <t xml:space="preserve">  Intentionally excluded from this what-if. Only 3 data points, all from one</t>
        </is>
      </c>
    </row>
    <row r="54">
      <c r="A54" t="inlineStr">
        <is>
          <t xml:space="preserve">  quote (Q224297 Die Cut Hand Formed). Decision deferred pending more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2026-09-14T14:34:52Z</dcterms:created>
  <dcterms:modified xmlns:dcterms="http://purl.org/dc/terms/" xmlns:xsi="http://www.w3.org/2001/XMLSchema-instance" xsi:type="dcterms:W3CDTF">2026-09-14T14:34:52Z</dcterms:modified>
</cp:coreProperties>
</file>