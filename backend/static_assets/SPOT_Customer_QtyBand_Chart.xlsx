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× Qty B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;-0.00&quot;%&quot;;0.00&quot;%&quot;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Variance % — by Customer × Qty Band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'Customer × Qty Band'!B4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× Qty Band'!$A$5:$A$19</f>
            </numRef>
          </cat>
          <val>
            <numRef>
              <f>'Customer × Qty Band'!$B$5:$B$19</f>
            </numRef>
          </val>
        </ser>
        <ser>
          <idx val="1"/>
          <order val="1"/>
          <tx>
            <strRef>
              <f>'Customer × Qty Band'!C4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× Qty Band'!$A$5:$A$19</f>
            </numRef>
          </cat>
          <val>
            <numRef>
              <f>'Customer × Qty Band'!$C$5:$C$19</f>
            </numRef>
          </val>
        </ser>
        <ser>
          <idx val="2"/>
          <order val="2"/>
          <tx>
            <strRef>
              <f>'Customer × Qty Band'!D4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× Qty Band'!$A$5:$A$19</f>
            </numRef>
          </cat>
          <val>
            <numRef>
              <f>'Customer × Qty Band'!$D$5:$D$19</f>
            </numRef>
          </val>
        </ser>
        <ser>
          <idx val="3"/>
          <order val="3"/>
          <tx>
            <strRef>
              <f>'Customer × Qty Band'!E4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× Qty Band'!$A$5:$A$19</f>
            </numRef>
          </cat>
          <val>
            <numRef>
              <f>'Customer × Qty Band'!$E$5:$E$19</f>
            </numRef>
          </val>
        </ser>
        <ser>
          <idx val="4"/>
          <order val="4"/>
          <tx>
            <strRef>
              <f>'Customer × Qty Band'!F4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× Qty Band'!$A$5:$A$19</f>
            </numRef>
          </cat>
          <val>
            <numRef>
              <f>'Customer × Qty Band'!$F$5:$F$19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Variance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1152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Median Variance % — Top 15 Customers × Qty Band</t>
        </is>
      </c>
    </row>
    <row r="2">
      <c r="A2" s="2" t="inlineStr">
        <is>
          <t>Quote-total level. Cells show median variance (SPOT vs iQuote). Green = SPOT cheaper, Red = SPOT more expensive, White = near parity. Blank cell = no quotes from that customer in that qty band.</t>
        </is>
      </c>
    </row>
    <row r="4">
      <c r="A4" s="3" t="inlineStr">
        <is>
          <t>Customer</t>
        </is>
      </c>
      <c r="B4" s="3" t="inlineStr">
        <is>
          <t>1-49</t>
        </is>
      </c>
      <c r="C4" s="3" t="inlineStr">
        <is>
          <t>50-199</t>
        </is>
      </c>
      <c r="D4" s="3" t="inlineStr">
        <is>
          <t>200-999</t>
        </is>
      </c>
      <c r="E4" s="3" t="inlineStr">
        <is>
          <t>1000-4999</t>
        </is>
      </c>
      <c r="F4" s="3" t="inlineStr">
        <is>
          <t>5000+</t>
        </is>
      </c>
      <c r="G4" s="3" t="inlineStr">
        <is>
          <t>Quote Count</t>
        </is>
      </c>
    </row>
    <row r="5">
      <c r="A5" s="4" t="inlineStr">
        <is>
          <t>Apex Display Group</t>
        </is>
      </c>
      <c r="B5" s="5" t="n">
        <v>34.2748707527717</v>
      </c>
      <c r="C5" s="5" t="n">
        <v>-19.1747177115131</v>
      </c>
      <c r="D5" s="5" t="n">
        <v>23.54270046211048</v>
      </c>
      <c r="E5" s="5" t="n">
        <v>9.134866938558464</v>
      </c>
      <c r="F5" s="5" t="n"/>
      <c r="G5" s="6" t="n">
        <v>25</v>
      </c>
    </row>
    <row r="6">
      <c r="A6" s="4" t="inlineStr">
        <is>
          <t>Skybox Packaging, LLC</t>
        </is>
      </c>
      <c r="B6" s="5" t="n">
        <v>38.94091639821357</v>
      </c>
      <c r="C6" s="5" t="n">
        <v>2.960367327211211</v>
      </c>
      <c r="D6" s="5" t="n">
        <v>21.53709052520965</v>
      </c>
      <c r="E6" s="5" t="n">
        <v>-22.58781548930945</v>
      </c>
      <c r="F6" s="5" t="n"/>
      <c r="G6" s="6" t="n">
        <v>21</v>
      </c>
    </row>
    <row r="7">
      <c r="A7" s="4" t="inlineStr">
        <is>
          <t>McElroy Contract Packaging, Inc.</t>
        </is>
      </c>
      <c r="B7" s="5" t="n"/>
      <c r="C7" s="5" t="n">
        <v>34.13220472312226</v>
      </c>
      <c r="D7" s="5" t="n">
        <v>31.81931826577036</v>
      </c>
      <c r="E7" s="5" t="n">
        <v>27.91070584328644</v>
      </c>
      <c r="F7" s="5" t="n"/>
      <c r="G7" s="6" t="n">
        <v>14</v>
      </c>
    </row>
    <row r="8">
      <c r="A8" s="4" t="inlineStr">
        <is>
          <t>PCA Pennsylvania Acquisition Corporation</t>
        </is>
      </c>
      <c r="B8" s="5" t="n"/>
      <c r="C8" s="5" t="n">
        <v>3.753494963422579</v>
      </c>
      <c r="D8" s="5" t="n">
        <v>23.81321432992468</v>
      </c>
      <c r="E8" s="5" t="n">
        <v>14.04360567153324</v>
      </c>
      <c r="F8" s="5" t="n">
        <v>65.57995076887907</v>
      </c>
      <c r="G8" s="6" t="n">
        <v>13</v>
      </c>
    </row>
    <row r="9">
      <c r="A9" s="4" t="inlineStr">
        <is>
          <t>PCA - Akron</t>
        </is>
      </c>
      <c r="B9" s="5" t="n">
        <v>56.92758476349936</v>
      </c>
      <c r="C9" s="5" t="n">
        <v>32.16937561641097</v>
      </c>
      <c r="D9" s="5" t="n">
        <v>16.87258286396553</v>
      </c>
      <c r="E9" s="5" t="n">
        <v>8.108483683442572</v>
      </c>
      <c r="F9" s="5" t="n"/>
      <c r="G9" s="6" t="n">
        <v>10</v>
      </c>
    </row>
    <row r="10">
      <c r="A10" s="4" t="inlineStr">
        <is>
          <t>Massillon Container</t>
        </is>
      </c>
      <c r="B10" s="5" t="n">
        <v>-10.77085781433607</v>
      </c>
      <c r="C10" s="5" t="n">
        <v>-0.9085616063994744</v>
      </c>
      <c r="D10" s="5" t="n">
        <v>27.35576923076924</v>
      </c>
      <c r="E10" s="5" t="n"/>
      <c r="F10" s="5" t="n"/>
      <c r="G10" s="6" t="n">
        <v>8</v>
      </c>
    </row>
    <row r="11">
      <c r="A11" s="4" t="inlineStr">
        <is>
          <t>PCA - Ashland</t>
        </is>
      </c>
      <c r="B11" s="5" t="n">
        <v>26.79580696584707</v>
      </c>
      <c r="C11" s="5" t="n">
        <v>27.8076979100926</v>
      </c>
      <c r="D11" s="5" t="n">
        <v>62.80048959608324</v>
      </c>
      <c r="E11" s="5" t="n">
        <v>10.62485447917098</v>
      </c>
      <c r="F11" s="5" t="n"/>
      <c r="G11" s="6" t="n">
        <v>7</v>
      </c>
    </row>
    <row r="12">
      <c r="A12" s="4" t="inlineStr">
        <is>
          <t>BCI Knoxville Division</t>
        </is>
      </c>
      <c r="B12" s="5" t="n"/>
      <c r="C12" s="5" t="n">
        <v>2.317255854164451</v>
      </c>
      <c r="D12" s="5" t="n">
        <v>19.69745830324387</v>
      </c>
      <c r="E12" s="5" t="n"/>
      <c r="F12" s="5" t="n"/>
      <c r="G12" s="6" t="n">
        <v>6</v>
      </c>
    </row>
    <row r="13">
      <c r="A13" s="4" t="inlineStr">
        <is>
          <t>Tavens</t>
        </is>
      </c>
      <c r="B13" s="5" t="n"/>
      <c r="C13" s="5" t="n">
        <v>8.78035507207148</v>
      </c>
      <c r="D13" s="5" t="n">
        <v>-1.884904877076758</v>
      </c>
      <c r="E13" s="5" t="n"/>
      <c r="F13" s="5" t="n"/>
      <c r="G13" s="6" t="n">
        <v>5</v>
      </c>
    </row>
    <row r="14">
      <c r="A14" s="4" t="inlineStr">
        <is>
          <t>Packaging Corporation</t>
        </is>
      </c>
      <c r="B14" s="5" t="n"/>
      <c r="C14" s="5" t="n"/>
      <c r="D14" s="5" t="n"/>
      <c r="E14" s="5" t="n">
        <v>-22.76854871668291</v>
      </c>
      <c r="F14" s="5" t="n">
        <v>-26.63159846685904</v>
      </c>
      <c r="G14" s="6" t="n">
        <v>5</v>
      </c>
    </row>
    <row r="15">
      <c r="A15" s="4" t="inlineStr">
        <is>
          <t>PCA- New Oxford</t>
        </is>
      </c>
      <c r="B15" s="5" t="n">
        <v>122.4210371664149</v>
      </c>
      <c r="C15" s="5" t="n">
        <v>11.970593811219</v>
      </c>
      <c r="D15" s="5" t="n"/>
      <c r="E15" s="5" t="n"/>
      <c r="F15" s="5" t="n"/>
      <c r="G15" s="6" t="n">
        <v>5</v>
      </c>
    </row>
    <row r="16">
      <c r="A16" s="4" t="inlineStr">
        <is>
          <t>PCA / Fairfield, OH</t>
        </is>
      </c>
      <c r="B16" s="5" t="n"/>
      <c r="C16" s="5" t="n">
        <v>39.37401442309388</v>
      </c>
      <c r="D16" s="5" t="n">
        <v>34.19798276077477</v>
      </c>
      <c r="E16" s="5" t="n">
        <v>-5.530480119787563</v>
      </c>
      <c r="F16" s="5" t="n"/>
      <c r="G16" s="6" t="n">
        <v>5</v>
      </c>
    </row>
    <row r="17">
      <c r="A17" s="4" t="inlineStr">
        <is>
          <t>Weber Display &amp; Packaging</t>
        </is>
      </c>
      <c r="B17" s="5" t="n">
        <v>41.45047005974158</v>
      </c>
      <c r="C17" s="5" t="n">
        <v>23.52648234417477</v>
      </c>
      <c r="D17" s="5" t="n"/>
      <c r="E17" s="5" t="n">
        <v>-2.602053762715559</v>
      </c>
      <c r="F17" s="5" t="n"/>
      <c r="G17" s="6" t="n">
        <v>5</v>
      </c>
    </row>
    <row r="18">
      <c r="A18" s="4" t="inlineStr">
        <is>
          <t>International Paper Retail Pkg &amp; Display</t>
        </is>
      </c>
      <c r="B18" s="5" t="n">
        <v>20.61068702290077</v>
      </c>
      <c r="C18" s="5" t="n"/>
      <c r="D18" s="5" t="n"/>
      <c r="E18" s="5" t="n"/>
      <c r="F18" s="5" t="n"/>
      <c r="G18" s="6" t="n">
        <v>5</v>
      </c>
    </row>
    <row r="19">
      <c r="A19" s="4" t="inlineStr">
        <is>
          <t>BCI Tennessee Division</t>
        </is>
      </c>
      <c r="B19" s="5" t="n"/>
      <c r="C19" s="5" t="n">
        <v>4.2185790251675</v>
      </c>
      <c r="D19" s="5" t="n">
        <v>13.94048769341886</v>
      </c>
      <c r="E19" s="5" t="n"/>
      <c r="F19" s="5" t="n"/>
      <c r="G19" s="6" t="n">
        <v>4</v>
      </c>
    </row>
  </sheetData>
  <mergeCells count="2">
    <mergeCell ref="A2:H2"/>
    <mergeCell ref="A1:H1"/>
  </mergeCells>
  <conditionalFormatting sqref="B5:F19">
    <cfRule type="colorScale" priority="1">
      <colorScale>
        <cfvo type="num" val="-30"/>
        <cfvo type="num" val="0"/>
        <cfvo type="num" val="60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2026-09-01T12:28:58Z</dcterms:created>
  <dcterms:modified xmlns:dcterms="http://purl.org/dc/terms/" xmlns:xsi="http://www.w3.org/2001/XMLSchema-instance" xsi:type="dcterms:W3CDTF">2026-09-01T12:28:58Z</dcterms:modified>
</cp:coreProperties>
</file>