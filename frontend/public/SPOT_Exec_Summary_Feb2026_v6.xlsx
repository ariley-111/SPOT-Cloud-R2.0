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Quote Comparison" sheetId="2" state="visible" r:id="rId2"/>
    <sheet xmlns:r="http://schemas.openxmlformats.org/officeDocument/2006/relationships" name="Pricing Summary" sheetId="3" state="visible" r:id="rId3"/>
    <sheet xmlns:r="http://schemas.openxmlformats.org/officeDocument/2006/relationships" name="Actuals 3-Way" sheetId="4" state="visible" r:id="rId4"/>
    <sheet xmlns:r="http://schemas.openxmlformats.org/officeDocument/2006/relationships" name="Charts - comparing to iQuote" sheetId="5" state="visible" r:id="rId5"/>
    <sheet xmlns:r="http://schemas.openxmlformats.org/officeDocument/2006/relationships" name="Charts - comparing to actu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</font>
    <font>
      <b val="1"/>
      <color rgb="001F4E78"/>
      <sz val="13"/>
    </font>
    <font>
      <b val="1"/>
      <color rgb="00FFFFFF"/>
      <sz val="11"/>
    </font>
    <font>
      <b val="1"/>
      <sz val="11"/>
    </font>
    <font>
      <i val="1"/>
      <color rgb="00666666"/>
      <sz val="9"/>
    </font>
    <font>
      <b val="1"/>
      <sz val="10"/>
    </font>
    <font>
      <b val="1"/>
      <color rgb="00C00000"/>
    </font>
    <font>
      <b val="1"/>
      <color rgb="0000B050"/>
    </font>
    <font>
      <b val="1"/>
      <color rgb="00ED7D31"/>
    </font>
    <font>
      <i val="1"/>
      <color rgb="00C00000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indent="1"/>
    </xf>
    <xf numFmtId="0" fontId="0" fillId="0" borderId="1" pivotButton="0" quotePrefix="0" xfId="0"/>
    <xf numFmtId="0" fontId="0" fillId="0" borderId="1" applyAlignment="1" pivotButton="0" quotePrefix="0" xfId="0">
      <alignment horizontal="left" indent="1"/>
    </xf>
    <xf numFmtId="4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8" fillId="4" borderId="1" pivotButton="0" quotePrefix="0" xfId="0"/>
    <xf numFmtId="0" fontId="8" fillId="4" borderId="1" applyAlignment="1" pivotButton="0" quotePrefix="0" xfId="0">
      <alignment horizontal="left" indent="1"/>
    </xf>
    <xf numFmtId="4" fontId="8" fillId="4" borderId="1" pivotButton="0" quotePrefix="0" xfId="0"/>
    <xf numFmtId="0" fontId="9" fillId="4" borderId="1" pivotButton="0" quotePrefix="0" xfId="0"/>
    <xf numFmtId="0" fontId="10" fillId="4" borderId="1" pivotButton="0" quotePrefix="0" xfId="0"/>
    <xf numFmtId="0" fontId="11" fillId="4" borderId="1" pivotButton="0" quotePrefix="0" xfId="0"/>
    <xf numFmtId="0" fontId="12" fillId="0" borderId="0" applyAlignment="1" pivotButton="0" quotePrefix="0" xfId="0">
      <alignment horizontal="left" inden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/>
    </xf>
    <xf numFmtId="0" fontId="9" fillId="0" borderId="1" applyAlignment="1" pivotButton="0" quotePrefix="0" xfId="0">
      <alignment vertical="top"/>
    </xf>
    <xf numFmtId="0" fontId="10" fillId="0" borderId="1" applyAlignment="1" pivotButton="0" quotePrefix="0" xfId="0">
      <alignment vertical="top"/>
    </xf>
    <xf numFmtId="0" fontId="11" fillId="0" borderId="1" applyAlignment="1" pivotButton="0" quotePrefix="0" xfId="0">
      <alignment vertical="top"/>
    </xf>
    <xf numFmtId="0" fontId="3" fillId="4" borderId="1" pivotButton="0" quotePrefix="0" xfId="0"/>
    <xf numFmtId="4" fontId="3" fillId="4" borderId="1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Distribution of Sell Delta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- comparing to iQuote'!B4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iQuote'!$A$5:$A$13</f>
            </numRef>
          </cat>
          <val>
            <numRef>
              <f>'Charts - comparing to iQuote'!$B$5:$B$13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Sell delta % (SPOT vs iQuote)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quotes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SPOT vs iQuote sell price - points above the line = SPOT higher</a:t>
            </a:r>
          </a:p>
        </rich>
      </tx>
    </title>
    <plotArea>
      <scatterChart>
        <ser>
          <idx val="0"/>
          <order val="0"/>
          <tx>
            <v>Quotes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trendline>
            <trendlineType val="linear"/>
          </trendline>
          <xVal>
            <numRef>
              <f>'Charts - comparing to iQuote'!$A$18:$A$75</f>
            </numRef>
          </xVal>
          <yVal>
            <numRef>
              <f>'Charts - comparing to iQuote'!$B$18:$B$75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iQuote sell $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SPOT sell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Median Sell Delta % by qty bucket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- comparing to iQuote'!B79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iQuote'!$A$80:$A$83</f>
            </numRef>
          </cat>
          <val>
            <numRef>
              <f>'Charts - comparing to iQuote'!$B$80:$B$83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Qty bucket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Median delta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by category - SPOT vs iQuote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- comparing to iQuote'!B87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iQuote'!$A$88:$A$92</f>
            </numRef>
          </cat>
          <val>
            <numRef>
              <f>'Charts - comparing to iQuote'!$B$88:$B$92</f>
            </numRef>
          </val>
        </ser>
        <ser>
          <idx val="1"/>
          <order val="1"/>
          <tx>
            <strRef>
              <f>'Charts - comparing to iQuote'!C87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iQuote'!$A$88:$A$92</f>
            </numRef>
          </cat>
          <val>
            <numRef>
              <f>'Charts - comparing to iQuote'!$C$88:$C$92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Cost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Actual invoice vs iQuote sell vs SPOT sell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- comparing to actuals'!B3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actuals'!$A$4:$A$12</f>
            </numRef>
          </cat>
          <val>
            <numRef>
              <f>'Charts - comparing to actuals'!$B$4:$B$12</f>
            </numRef>
          </val>
        </ser>
        <ser>
          <idx val="1"/>
          <order val="1"/>
          <tx>
            <strRef>
              <f>'Charts - comparing to actuals'!C3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actuals'!$A$4:$A$12</f>
            </numRef>
          </cat>
          <val>
            <numRef>
              <f>'Charts - comparing to actuals'!$C$4:$C$12</f>
            </numRef>
          </val>
        </ser>
        <ser>
          <idx val="2"/>
          <order val="2"/>
          <tx>
            <strRef>
              <f>'Charts - comparing to actuals'!D3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actuals'!$A$4:$A$12</f>
            </numRef>
          </cat>
          <val>
            <numRef>
              <f>'Charts - comparing to actuals'!$D$4:$D$12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MIS Job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Estimated cost accuracy vs actual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- comparing to actuals'!B16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actuals'!$A$17:$A$19</f>
            </numRef>
          </cat>
          <val>
            <numRef>
              <f>'Charts - comparing to actuals'!$B$17:$B$19</f>
            </numRef>
          </val>
        </ser>
        <ser>
          <idx val="1"/>
          <order val="1"/>
          <tx>
            <strRef>
              <f>'Charts - comparing to actuals'!C16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actuals'!$A$17:$A$19</f>
            </numRef>
          </cat>
          <val>
            <numRef>
              <f>'Charts - comparing to actuals'!$C$17:$C$19</f>
            </numRef>
          </val>
        </ser>
        <ser>
          <idx val="2"/>
          <order val="2"/>
          <tx>
            <strRef>
              <f>'Charts - comparing to actuals'!D16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actuals'!$A$17:$A$19</f>
            </numRef>
          </cat>
          <val>
            <numRef>
              <f>'Charts - comparing to actuals'!$D$17:$D$19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15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77</row>
      <rowOff>0</rowOff>
    </from>
    <ext cx="648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85</row>
      <rowOff>0</rowOff>
    </from>
    <ext cx="648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55" customWidth="1" min="1" max="1"/>
    <col width="70" customWidth="1" min="2" max="2"/>
  </cols>
  <sheetData>
    <row r="1">
      <c r="A1" s="1" t="inlineStr">
        <is>
          <t>SPOT vs iQuote vs Actuals - Executive Summary</t>
        </is>
      </c>
    </row>
    <row r="2" ht="40" customHeight="1">
      <c r="A2" s="2" t="inlineStr">
        <is>
          <t>Whole-quote comparison across 58 SPOT scenarios (58 matched to iQuote), plus 3-way actuals on 9 produced jobs. Verdicts: PASS &lt;= +/- 10%, REVIEW &lt;= +/- 20%, FAIL &gt; +/- 20%.</t>
        </is>
      </c>
    </row>
    <row r="4">
      <c r="A4" s="3" t="inlineStr">
        <is>
          <t>Summary</t>
        </is>
      </c>
    </row>
    <row r="5">
      <c r="A5" s="4" t="inlineStr">
        <is>
          <t>SPOT scenarios</t>
        </is>
      </c>
      <c r="B5" t="n">
        <v>58</v>
      </c>
    </row>
    <row r="6">
      <c r="A6" s="4" t="inlineStr">
        <is>
          <t>Matched to iQuote</t>
        </is>
      </c>
      <c r="B6" t="n">
        <v>58</v>
      </c>
    </row>
    <row r="7">
      <c r="A7" s="4" t="inlineStr">
        <is>
          <t>Produced jobs with actuals</t>
        </is>
      </c>
      <c r="B7" t="n">
        <v>9</v>
      </c>
    </row>
    <row r="8">
      <c r="A8" s="4" t="inlineStr">
        <is>
          <t>SPOT vs iQuote (median sell delta)</t>
        </is>
      </c>
      <c r="B8" t="inlineStr">
        <is>
          <t>+10.5%</t>
        </is>
      </c>
    </row>
    <row r="9">
      <c r="A9" s="4" t="inlineStr">
        <is>
          <t>PASS / REVIEW / FAIL</t>
        </is>
      </c>
      <c r="B9" t="inlineStr">
        <is>
          <t>17 / 13 / 28</t>
        </is>
      </c>
    </row>
    <row r="11">
      <c r="A11" s="3" t="inlineStr">
        <is>
          <t>Actuals - 9 produced jobs</t>
        </is>
      </c>
    </row>
    <row r="12">
      <c r="A12" s="4" t="inlineStr">
        <is>
          <t>Sold vs actual cost</t>
        </is>
      </c>
      <c r="B12" t="inlineStr">
        <is>
          <t>$18,131 sold - $22,305 cost - -23% margin</t>
        </is>
      </c>
    </row>
    <row r="13">
      <c r="A13" s="4" t="inlineStr">
        <is>
          <t>Same work at SPOT prices</t>
        </is>
      </c>
      <c r="B13" t="inlineStr">
        <is>
          <t>$21,277 - -5% margin</t>
        </is>
      </c>
    </row>
    <row r="14">
      <c r="A14" s="4" t="inlineStr">
        <is>
          <t>Jobs that lost money as invoiced</t>
        </is>
      </c>
      <c r="B14" t="inlineStr">
        <is>
          <t>4 of 9</t>
        </is>
      </c>
    </row>
    <row r="16">
      <c r="A16" s="3" t="inlineStr">
        <is>
          <t>Accuracy vs actual cost by category</t>
        </is>
      </c>
    </row>
    <row r="17">
      <c r="A17" s="4" t="inlineStr">
        <is>
          <t>Material</t>
        </is>
      </c>
      <c r="B17" t="inlineStr">
        <is>
          <t>SPOT -3% vs actual  -  iQuote -3% vs actual  -  actual $4,963  -  spot $4,813  -  iq $4,835</t>
        </is>
      </c>
    </row>
    <row r="18">
      <c r="A18" s="4" t="inlineStr">
        <is>
          <t>Print</t>
        </is>
      </c>
      <c r="B18" t="inlineStr">
        <is>
          <t>SPOT -27% vs actual  -  iQuote -59% vs actual  -  actual $8,583  -  spot $6,247  -  iq $3,532</t>
        </is>
      </c>
    </row>
    <row r="19">
      <c r="A19" s="4" t="inlineStr">
        <is>
          <t>Cutting</t>
        </is>
      </c>
      <c r="B19" t="inlineStr">
        <is>
          <t>SPOT -55% vs actual  -  iQuote -49% vs actual  -  actual $5,345  -  spot $2,428  -  iq $2,714</t>
        </is>
      </c>
    </row>
    <row r="20">
      <c r="A20" s="4" t="inlineStr">
        <is>
          <t>Handwork</t>
        </is>
      </c>
      <c r="B20" t="inlineStr">
        <is>
          <t>SPOT n/a vs actual  -  iQuote n/a vs actual  -  actual $0  -  spot $705  -  iq $239</t>
        </is>
      </c>
    </row>
    <row r="21">
      <c r="A21" s="4" t="inlineStr">
        <is>
          <t>Die</t>
        </is>
      </c>
      <c r="B21" t="inlineStr">
        <is>
          <t>SPOT -19% vs actual  -  iQuote n/a (not in iQuote export) vs actual  -  actual $3,414  -  spot $2,760  -  iq $0</t>
        </is>
      </c>
    </row>
    <row r="23">
      <c r="A23" s="3" t="inlineStr">
        <is>
          <t>Key takeaways</t>
        </is>
      </c>
    </row>
    <row r="24" ht="28" customHeight="1">
      <c r="A24" s="2" t="inlineStr">
        <is>
          <t>Whole-quote view: SPOT and iQuote are within +/- 10% on most matched scenarios.</t>
        </is>
      </c>
    </row>
    <row r="25" ht="28" customHeight="1">
      <c r="A25" s="2" t="inlineStr">
        <is>
          <t>Material is well-calibrated across SPOT and iQuote versus actuals.</t>
        </is>
      </c>
    </row>
    <row r="26" ht="28" customHeight="1">
      <c r="A26" s="2" t="inlineStr">
        <is>
          <t>Print is a systematic driver where SPOT tends higher than iQuote and closer to actuals.</t>
        </is>
      </c>
    </row>
    <row r="27" ht="28" customHeight="1">
      <c r="A27" s="2" t="inlineStr">
        <is>
          <t>Cutting throughput remains a gap in both systems on produced jobs.</t>
        </is>
      </c>
    </row>
    <row r="28" ht="28" customHeight="1">
      <c r="A28" s="2" t="inlineStr">
        <is>
          <t>Small-qty (&lt;= 50) scenarios carry the largest SPOT premium; review minimums rules.</t>
        </is>
      </c>
    </row>
    <row r="29" ht="28" customHeight="1">
      <c r="A29" s="2" t="inlineStr">
        <is>
          <t>iQuote export does not include die cost - noted where SPOT priced a die.</t>
        </is>
      </c>
    </row>
  </sheetData>
  <mergeCells count="7">
    <mergeCell ref="A26:B26"/>
    <mergeCell ref="A24:B24"/>
    <mergeCell ref="A2:B2"/>
    <mergeCell ref="A29:B29"/>
    <mergeCell ref="A25:B25"/>
    <mergeCell ref="A28:B28"/>
    <mergeCell ref="A27:B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9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11" customWidth="1" min="7" max="7"/>
    <col width="12" customWidth="1" min="8" max="8"/>
    <col width="40" customWidth="1" min="9" max="9"/>
  </cols>
  <sheetData>
    <row r="1">
      <c r="A1" s="5" t="inlineStr">
        <is>
          <t>Quote-by-Quote: SPOT vs iQuote (whole-quote category breakdown)</t>
        </is>
      </c>
    </row>
    <row r="2" ht="45" customHeight="1">
      <c r="A2" s="2" t="inlineStr">
        <is>
          <t>One block per SPOT scenario. Categories mirror the Actuals 3-Way layout. SPOT $ and iQuote $ are SUMS of all components in that scenario. TOTAL SELL compares total quoted price. Delta % = SPOT vs iQuote where + means SPOT higher. Missing side rendered blank with a note.</t>
        </is>
      </c>
    </row>
    <row r="4">
      <c r="A4" s="6" t="inlineStr">
        <is>
          <t>Project - SPOT Est - iQuote #</t>
        </is>
      </c>
      <c r="B4" s="6" t="inlineStr">
        <is>
          <t>Qty</t>
        </is>
      </c>
      <c r="C4" s="6" t="inlineStr">
        <is>
          <t>Category</t>
        </is>
      </c>
      <c r="D4" s="6" t="inlineStr">
        <is>
          <t>SPOT $</t>
        </is>
      </c>
      <c r="E4" s="6" t="inlineStr">
        <is>
          <t>iQuote $</t>
        </is>
      </c>
      <c r="F4" s="6" t="inlineStr">
        <is>
          <t>Delta $</t>
        </is>
      </c>
      <c r="G4" s="6" t="inlineStr">
        <is>
          <t>Delta %</t>
        </is>
      </c>
      <c r="H4" s="6" t="inlineStr">
        <is>
          <t>Verdict</t>
        </is>
      </c>
      <c r="I4" s="6" t="inlineStr">
        <is>
          <t>Note</t>
        </is>
      </c>
    </row>
    <row r="5">
      <c r="A5" s="7" t="inlineStr">
        <is>
          <t>(no project name) - SPOT RW-260722-095152 - iQuote #223575 - qty 500 - BECAME A JOB - iQuote OptDesc: Option 1</t>
        </is>
      </c>
    </row>
    <row r="6">
      <c r="A6" s="8" t="inlineStr">
        <is>
          <t xml:space="preserve">    Resolution: only one option available</t>
        </is>
      </c>
    </row>
    <row r="7">
      <c r="A7" s="9" t="n"/>
      <c r="B7" s="9" t="inlineStr">
        <is>
          <t>500</t>
        </is>
      </c>
      <c r="C7" s="10" t="inlineStr">
        <is>
          <t>Material</t>
        </is>
      </c>
      <c r="D7" s="11" t="n">
        <v>161.77</v>
      </c>
      <c r="E7" s="11" t="n">
        <v>159.988</v>
      </c>
      <c r="F7" s="11" t="n">
        <v>1.78</v>
      </c>
      <c r="G7" s="9" t="inlineStr">
        <is>
          <t>+1%</t>
        </is>
      </c>
      <c r="H7" s="9" t="inlineStr"/>
      <c r="I7" s="12" t="inlineStr"/>
    </row>
    <row r="8">
      <c r="A8" s="9" t="n"/>
      <c r="B8" s="9" t="n"/>
      <c r="C8" s="10" t="inlineStr">
        <is>
          <t>Print</t>
        </is>
      </c>
      <c r="D8" s="11" t="n">
        <v>206.23</v>
      </c>
      <c r="E8" s="11" t="n">
        <v>127.611</v>
      </c>
      <c r="F8" s="11" t="n">
        <v>78.62</v>
      </c>
      <c r="G8" s="9" t="inlineStr">
        <is>
          <t>+62%</t>
        </is>
      </c>
      <c r="H8" s="9" t="inlineStr"/>
      <c r="I8" s="12" t="inlineStr"/>
    </row>
    <row r="9">
      <c r="A9" s="9" t="n"/>
      <c r="B9" s="9" t="n"/>
      <c r="C9" s="10" t="inlineStr">
        <is>
          <t>Cutting</t>
        </is>
      </c>
      <c r="D9" s="11" t="n">
        <v>189.37</v>
      </c>
      <c r="E9" s="11" t="n">
        <v>200.0185</v>
      </c>
      <c r="F9" s="11" t="n">
        <v>-10.65</v>
      </c>
      <c r="G9" s="9" t="inlineStr">
        <is>
          <t>-5%</t>
        </is>
      </c>
      <c r="H9" s="9" t="inlineStr"/>
      <c r="I9" s="12" t="inlineStr"/>
    </row>
    <row r="10">
      <c r="A10" s="9" t="n"/>
      <c r="B10" s="9" t="n"/>
      <c r="C10" s="10" t="inlineStr">
        <is>
          <t>Handwork</t>
        </is>
      </c>
      <c r="D10" s="11" t="n">
        <v>14.45</v>
      </c>
      <c r="E10" s="11" t="n">
        <v>0</v>
      </c>
      <c r="F10" s="11" t="n">
        <v>14.45</v>
      </c>
      <c r="G10" s="9" t="inlineStr">
        <is>
          <t>n/a</t>
        </is>
      </c>
      <c r="H10" s="9" t="inlineStr"/>
      <c r="I10" s="12" t="inlineStr"/>
    </row>
    <row r="11">
      <c r="A11" s="13" t="n"/>
      <c r="B11" s="13" t="inlineStr">
        <is>
          <t>500</t>
        </is>
      </c>
      <c r="C11" s="14" t="inlineStr">
        <is>
          <t>TOTAL SELL</t>
        </is>
      </c>
      <c r="D11" s="15" t="n">
        <v>1288.67</v>
      </c>
      <c r="E11" s="15" t="n">
        <v>985.09</v>
      </c>
      <c r="F11" s="15" t="n">
        <v>303.58</v>
      </c>
      <c r="G11" s="13" t="inlineStr">
        <is>
          <t>+31%</t>
        </is>
      </c>
      <c r="H11" s="16" t="inlineStr">
        <is>
          <t>FAIL</t>
        </is>
      </c>
      <c r="I11" s="13" t="inlineStr"/>
    </row>
    <row r="13">
      <c r="A13" s="7" t="inlineStr">
        <is>
          <t>0904-219 Center Joint - SPOT RW-260724-113737 - iQuote #223651 - qty 22 - BECAME A JOB - iQuote OptDesc: Option 1</t>
        </is>
      </c>
    </row>
    <row r="14">
      <c r="A14" s="8" t="inlineStr">
        <is>
          <t xml:space="preserve">    Resolution: only one option available</t>
        </is>
      </c>
    </row>
    <row r="15">
      <c r="A15" s="9" t="n"/>
      <c r="B15" s="9" t="inlineStr">
        <is>
          <t>22</t>
        </is>
      </c>
      <c r="C15" s="10" t="inlineStr">
        <is>
          <t>Material</t>
        </is>
      </c>
      <c r="D15" s="11" t="n">
        <v>5.35</v>
      </c>
      <c r="E15" s="11" t="n">
        <v>10.9048</v>
      </c>
      <c r="F15" s="11" t="n">
        <v>-5.55</v>
      </c>
      <c r="G15" s="9" t="inlineStr">
        <is>
          <t>-51%</t>
        </is>
      </c>
      <c r="H15" s="9" t="inlineStr"/>
      <c r="I15" s="12" t="inlineStr"/>
    </row>
    <row r="16">
      <c r="A16" s="9" t="n"/>
      <c r="B16" s="9" t="n"/>
      <c r="C16" s="10" t="inlineStr">
        <is>
          <t>Print</t>
        </is>
      </c>
      <c r="D16" s="11" t="n">
        <v>0</v>
      </c>
      <c r="E16" s="11" t="n">
        <v>0</v>
      </c>
      <c r="F16" s="11" t="n">
        <v>0</v>
      </c>
      <c r="G16" s="9" t="inlineStr">
        <is>
          <t>n/a</t>
        </is>
      </c>
      <c r="H16" s="9" t="inlineStr"/>
      <c r="I16" s="12" t="inlineStr"/>
    </row>
    <row r="17">
      <c r="A17" s="9" t="n"/>
      <c r="B17" s="9" t="n"/>
      <c r="C17" s="10" t="inlineStr">
        <is>
          <t>Cutting</t>
        </is>
      </c>
      <c r="D17" s="11" t="n">
        <v>60</v>
      </c>
      <c r="E17" s="11" t="n">
        <v>41.4431</v>
      </c>
      <c r="F17" s="11" t="n">
        <v>18.56</v>
      </c>
      <c r="G17" s="9" t="inlineStr">
        <is>
          <t>+45%</t>
        </is>
      </c>
      <c r="H17" s="9" t="inlineStr"/>
      <c r="I17" s="12" t="inlineStr"/>
    </row>
    <row r="18">
      <c r="A18" s="9" t="n"/>
      <c r="B18" s="9" t="n"/>
      <c r="C18" s="10" t="inlineStr">
        <is>
          <t>Handwork</t>
        </is>
      </c>
      <c r="D18" s="11" t="n">
        <v>0.85</v>
      </c>
      <c r="E18" s="11" t="n">
        <v>0</v>
      </c>
      <c r="F18" s="11" t="n">
        <v>0.85</v>
      </c>
      <c r="G18" s="9" t="inlineStr">
        <is>
          <t>n/a</t>
        </is>
      </c>
      <c r="H18" s="9" t="inlineStr"/>
      <c r="I18" s="12" t="inlineStr"/>
    </row>
    <row r="19">
      <c r="A19" s="13" t="n"/>
      <c r="B19" s="13" t="inlineStr">
        <is>
          <t>22</t>
        </is>
      </c>
      <c r="C19" s="14" t="inlineStr">
        <is>
          <t>TOTAL SELL</t>
        </is>
      </c>
      <c r="D19" s="15" t="n">
        <v>132.39</v>
      </c>
      <c r="E19" s="15" t="n">
        <v>130.54</v>
      </c>
      <c r="F19" s="15" t="n">
        <v>1.85</v>
      </c>
      <c r="G19" s="13" t="inlineStr">
        <is>
          <t>+1%</t>
        </is>
      </c>
      <c r="H19" s="17" t="inlineStr">
        <is>
          <t>PASS</t>
        </is>
      </c>
      <c r="I19" s="13" t="inlineStr"/>
    </row>
    <row r="21">
      <c r="A21" s="7" t="inlineStr">
        <is>
          <t>0904-219 Center Joint - SPOT RW-260724-113737 - iQuote #223651 - qty 59 - BECAME A JOB - iQuote OptDesc: Option 1</t>
        </is>
      </c>
    </row>
    <row r="22">
      <c r="A22" s="8" t="inlineStr">
        <is>
          <t xml:space="preserve">    Resolution: only one option available</t>
        </is>
      </c>
    </row>
    <row r="23">
      <c r="A23" s="9" t="n"/>
      <c r="B23" s="9" t="inlineStr">
        <is>
          <t>59</t>
        </is>
      </c>
      <c r="C23" s="10" t="inlineStr">
        <is>
          <t>Material</t>
        </is>
      </c>
      <c r="D23" s="11" t="n">
        <v>13.75</v>
      </c>
      <c r="E23" s="11" t="n">
        <v>21.8096</v>
      </c>
      <c r="F23" s="11" t="n">
        <v>-8.06</v>
      </c>
      <c r="G23" s="9" t="inlineStr">
        <is>
          <t>-37%</t>
        </is>
      </c>
      <c r="H23" s="9" t="inlineStr"/>
      <c r="I23" s="12" t="inlineStr"/>
    </row>
    <row r="24">
      <c r="A24" s="9" t="n"/>
      <c r="B24" s="9" t="n"/>
      <c r="C24" s="10" t="inlineStr">
        <is>
          <t>Print</t>
        </is>
      </c>
      <c r="D24" s="11" t="n">
        <v>0</v>
      </c>
      <c r="E24" s="11" t="n">
        <v>0</v>
      </c>
      <c r="F24" s="11" t="n">
        <v>0</v>
      </c>
      <c r="G24" s="9" t="inlineStr">
        <is>
          <t>n/a</t>
        </is>
      </c>
      <c r="H24" s="9" t="inlineStr"/>
      <c r="I24" s="12" t="inlineStr"/>
    </row>
    <row r="25">
      <c r="A25" s="9" t="n"/>
      <c r="B25" s="9" t="n"/>
      <c r="C25" s="10" t="inlineStr">
        <is>
          <t>Cutting</t>
        </is>
      </c>
      <c r="D25" s="11" t="n">
        <v>82</v>
      </c>
      <c r="E25" s="11" t="n">
        <v>53.1108</v>
      </c>
      <c r="F25" s="11" t="n">
        <v>28.89</v>
      </c>
      <c r="G25" s="9" t="inlineStr">
        <is>
          <t>+54%</t>
        </is>
      </c>
      <c r="H25" s="9" t="inlineStr"/>
      <c r="I25" s="12" t="inlineStr"/>
    </row>
    <row r="26">
      <c r="A26" s="9" t="n"/>
      <c r="B26" s="9" t="n"/>
      <c r="C26" s="10" t="inlineStr">
        <is>
          <t>Handwork</t>
        </is>
      </c>
      <c r="D26" s="11" t="n">
        <v>1.7</v>
      </c>
      <c r="E26" s="11" t="n">
        <v>0</v>
      </c>
      <c r="F26" s="11" t="n">
        <v>1.7</v>
      </c>
      <c r="G26" s="9" t="inlineStr">
        <is>
          <t>n/a</t>
        </is>
      </c>
      <c r="H26" s="9" t="inlineStr"/>
      <c r="I26" s="12" t="inlineStr"/>
    </row>
    <row r="27">
      <c r="A27" s="13" t="n"/>
      <c r="B27" s="13" t="inlineStr">
        <is>
          <t>59</t>
        </is>
      </c>
      <c r="C27" s="14" t="inlineStr">
        <is>
          <t>TOTAL SELL</t>
        </is>
      </c>
      <c r="D27" s="15" t="n">
        <v>194.89</v>
      </c>
      <c r="E27" s="15" t="n">
        <v>157.17</v>
      </c>
      <c r="F27" s="15" t="n">
        <v>37.72</v>
      </c>
      <c r="G27" s="13" t="inlineStr">
        <is>
          <t>+24%</t>
        </is>
      </c>
      <c r="H27" s="16" t="inlineStr">
        <is>
          <t>FAIL</t>
        </is>
      </c>
      <c r="I27" s="13" t="inlineStr"/>
    </row>
    <row r="29">
      <c r="A29" s="7" t="inlineStr">
        <is>
          <t>1748 Meijer PED Tasty Biscuits + Dentastix - SPOT RW-260629-133153 - iQuote #223378 - qty 250 - iQuote OptDesc: CadCut</t>
        </is>
      </c>
    </row>
    <row r="30">
      <c r="A30" s="8" t="inlineStr">
        <is>
          <t xml:space="preserve">    Resolution: only one option available</t>
        </is>
      </c>
    </row>
    <row r="31">
      <c r="A31" s="9" t="n"/>
      <c r="B31" s="9" t="inlineStr">
        <is>
          <t>250</t>
        </is>
      </c>
      <c r="C31" s="10" t="inlineStr">
        <is>
          <t>Material</t>
        </is>
      </c>
      <c r="D31" s="11" t="n">
        <v>2336.62</v>
      </c>
      <c r="E31" s="11" t="n">
        <v>3090.6484</v>
      </c>
      <c r="F31" s="11" t="n">
        <v>-754.03</v>
      </c>
      <c r="G31" s="9" t="inlineStr">
        <is>
          <t>-24%</t>
        </is>
      </c>
      <c r="H31" s="9" t="inlineStr"/>
      <c r="I31" s="12" t="inlineStr"/>
    </row>
    <row r="32">
      <c r="A32" s="9" t="n"/>
      <c r="B32" s="9" t="n"/>
      <c r="C32" s="10" t="inlineStr">
        <is>
          <t>Print</t>
        </is>
      </c>
      <c r="D32" s="11" t="n">
        <v>3242.52</v>
      </c>
      <c r="E32" s="11" t="n">
        <v>1946.5268</v>
      </c>
      <c r="F32" s="11" t="n">
        <v>1295.99</v>
      </c>
      <c r="G32" s="9" t="inlineStr">
        <is>
          <t>+67%</t>
        </is>
      </c>
      <c r="H32" s="9" t="inlineStr"/>
      <c r="I32" s="12" t="inlineStr"/>
    </row>
    <row r="33">
      <c r="A33" s="9" t="n"/>
      <c r="B33" s="9" t="n"/>
      <c r="C33" s="10" t="inlineStr">
        <is>
          <t>Cutting</t>
        </is>
      </c>
      <c r="D33" s="11" t="n">
        <v>595.17</v>
      </c>
      <c r="E33" s="11" t="n">
        <v>860.8229</v>
      </c>
      <c r="F33" s="11" t="n">
        <v>-265.65</v>
      </c>
      <c r="G33" s="9" t="inlineStr">
        <is>
          <t>-31%</t>
        </is>
      </c>
      <c r="H33" s="9" t="inlineStr"/>
      <c r="I33" s="12" t="inlineStr"/>
    </row>
    <row r="34">
      <c r="A34" s="9" t="n"/>
      <c r="B34" s="9" t="n"/>
      <c r="C34" s="10" t="inlineStr">
        <is>
          <t>Handwork</t>
        </is>
      </c>
      <c r="D34" s="11" t="n">
        <v>106.25</v>
      </c>
      <c r="E34" s="11" t="n">
        <v>0</v>
      </c>
      <c r="F34" s="11" t="n">
        <v>106.25</v>
      </c>
      <c r="G34" s="9" t="inlineStr">
        <is>
          <t>n/a</t>
        </is>
      </c>
      <c r="H34" s="9" t="inlineStr"/>
      <c r="I34" s="12" t="inlineStr"/>
    </row>
    <row r="35">
      <c r="A35" s="13" t="n"/>
      <c r="B35" s="13" t="inlineStr">
        <is>
          <t>250</t>
        </is>
      </c>
      <c r="C35" s="14" t="inlineStr">
        <is>
          <t>TOTAL SELL</t>
        </is>
      </c>
      <c r="D35" s="15" t="n">
        <v>6824.8</v>
      </c>
      <c r="E35" s="15" t="n">
        <v>9322.529999999999</v>
      </c>
      <c r="F35" s="15" t="n">
        <v>-2497.73</v>
      </c>
      <c r="G35" s="13" t="inlineStr">
        <is>
          <t>-27%</t>
        </is>
      </c>
      <c r="H35" s="16" t="inlineStr">
        <is>
          <t>FAIL</t>
        </is>
      </c>
      <c r="I35" s="13" t="inlineStr"/>
    </row>
    <row r="37">
      <c r="A37" s="7" t="inlineStr">
        <is>
          <t>3M Wall Repair Kit - SPOT RW-260720-093753 - iQuote #221299 - qty 30, 300 - iQuote OptDesc: Option 1 - Original</t>
        </is>
      </c>
    </row>
    <row r="38">
      <c r="A38" s="8" t="inlineStr">
        <is>
          <t xml:space="preserve">    Resolution: only one option available</t>
        </is>
      </c>
    </row>
    <row r="39">
      <c r="A39" s="9" t="n"/>
      <c r="B39" s="9" t="inlineStr">
        <is>
          <t>30, 300</t>
        </is>
      </c>
      <c r="C39" s="10" t="inlineStr">
        <is>
          <t>Material</t>
        </is>
      </c>
      <c r="D39" s="11" t="n">
        <v>394.78</v>
      </c>
      <c r="E39" s="11" t="n">
        <v>383.9017</v>
      </c>
      <c r="F39" s="11" t="n">
        <v>10.88</v>
      </c>
      <c r="G39" s="9" t="inlineStr">
        <is>
          <t>+3%</t>
        </is>
      </c>
      <c r="H39" s="9" t="inlineStr"/>
      <c r="I39" s="12" t="inlineStr"/>
    </row>
    <row r="40">
      <c r="A40" s="9" t="n"/>
      <c r="B40" s="9" t="n"/>
      <c r="C40" s="10" t="inlineStr">
        <is>
          <t>Print</t>
        </is>
      </c>
      <c r="D40" s="11" t="n">
        <v>793.5699999999999</v>
      </c>
      <c r="E40" s="11" t="n">
        <v>548.0628</v>
      </c>
      <c r="F40" s="11" t="n">
        <v>245.51</v>
      </c>
      <c r="G40" s="9" t="inlineStr">
        <is>
          <t>+45%</t>
        </is>
      </c>
      <c r="H40" s="9" t="inlineStr"/>
      <c r="I40" s="12" t="inlineStr"/>
    </row>
    <row r="41">
      <c r="A41" s="9" t="n"/>
      <c r="B41" s="9" t="n"/>
      <c r="C41" s="10" t="inlineStr">
        <is>
          <t>Cutting</t>
        </is>
      </c>
      <c r="D41" s="11" t="n">
        <v>518.0899999999999</v>
      </c>
      <c r="E41" s="11" t="n">
        <v>575.0047999999999</v>
      </c>
      <c r="F41" s="11" t="n">
        <v>-56.91</v>
      </c>
      <c r="G41" s="9" t="inlineStr">
        <is>
          <t>-10%</t>
        </is>
      </c>
      <c r="H41" s="9" t="inlineStr"/>
      <c r="I41" s="12" t="inlineStr"/>
    </row>
    <row r="42">
      <c r="A42" s="9" t="n"/>
      <c r="B42" s="9" t="n"/>
      <c r="C42" s="10" t="inlineStr">
        <is>
          <t>Handwork</t>
        </is>
      </c>
      <c r="D42" s="11" t="n">
        <v>36.55</v>
      </c>
      <c r="E42" s="11" t="n">
        <v>0</v>
      </c>
      <c r="F42" s="11" t="n">
        <v>36.55</v>
      </c>
      <c r="G42" s="9" t="inlineStr">
        <is>
          <t>n/a</t>
        </is>
      </c>
      <c r="H42" s="9" t="inlineStr"/>
      <c r="I42" s="12" t="inlineStr"/>
    </row>
    <row r="43">
      <c r="A43" s="13" t="n"/>
      <c r="B43" s="13" t="inlineStr">
        <is>
          <t>30, 300</t>
        </is>
      </c>
      <c r="C43" s="14" t="inlineStr">
        <is>
          <t>TOTAL SELL</t>
        </is>
      </c>
      <c r="D43" s="15" t="n">
        <v>3006.89</v>
      </c>
      <c r="E43" s="15" t="n">
        <v>2570.16</v>
      </c>
      <c r="F43" s="15" t="n">
        <v>436.73</v>
      </c>
      <c r="G43" s="13" t="inlineStr">
        <is>
          <t>+17%</t>
        </is>
      </c>
      <c r="H43" s="18" t="inlineStr">
        <is>
          <t>REVIEW</t>
        </is>
      </c>
      <c r="I43" s="13" t="inlineStr"/>
    </row>
    <row r="45">
      <c r="A45" s="7" t="inlineStr">
        <is>
          <t>48 Count Nacho Fiesta - SPOT RW-260706-110912 - iQuote #223498 - qty 250 - iQuote OptDesc: Option 1</t>
        </is>
      </c>
    </row>
    <row r="46">
      <c r="A46" s="8" t="inlineStr">
        <is>
          <t xml:space="preserve">    Resolution: only one option available</t>
        </is>
      </c>
    </row>
    <row r="47">
      <c r="A47" s="9" t="n"/>
      <c r="B47" s="9" t="inlineStr">
        <is>
          <t>250</t>
        </is>
      </c>
      <c r="C47" s="10" t="inlineStr">
        <is>
          <t>Material</t>
        </is>
      </c>
      <c r="D47" s="11" t="n">
        <v>99.93000000000001</v>
      </c>
      <c r="E47" s="11" t="n">
        <v>102.1119</v>
      </c>
      <c r="F47" s="11" t="n">
        <v>-2.18</v>
      </c>
      <c r="G47" s="9" t="inlineStr">
        <is>
          <t>-2%</t>
        </is>
      </c>
      <c r="H47" s="9" t="inlineStr"/>
      <c r="I47" s="12" t="inlineStr"/>
    </row>
    <row r="48">
      <c r="A48" s="9" t="n"/>
      <c r="B48" s="9" t="n"/>
      <c r="C48" s="10" t="inlineStr">
        <is>
          <t>Print</t>
        </is>
      </c>
      <c r="D48" s="11" t="n">
        <v>137.77</v>
      </c>
      <c r="E48" s="11" t="n">
        <v>133.5666</v>
      </c>
      <c r="F48" s="11" t="n">
        <v>4.2</v>
      </c>
      <c r="G48" s="9" t="inlineStr">
        <is>
          <t>+3%</t>
        </is>
      </c>
      <c r="H48" s="9" t="inlineStr"/>
      <c r="I48" s="12" t="inlineStr"/>
    </row>
    <row r="49">
      <c r="A49" s="9" t="n"/>
      <c r="B49" s="9" t="n"/>
      <c r="C49" s="10" t="inlineStr">
        <is>
          <t>Cutting</t>
        </is>
      </c>
      <c r="D49" s="11" t="n">
        <v>138.88</v>
      </c>
      <c r="E49" s="11" t="n">
        <v>130.3333</v>
      </c>
      <c r="F49" s="11" t="n">
        <v>8.550000000000001</v>
      </c>
      <c r="G49" s="9" t="inlineStr">
        <is>
          <t>+7%</t>
        </is>
      </c>
      <c r="H49" s="9" t="inlineStr"/>
      <c r="I49" s="12" t="inlineStr"/>
    </row>
    <row r="50">
      <c r="A50" s="9" t="n"/>
      <c r="B50" s="9" t="n"/>
      <c r="C50" s="10" t="inlineStr">
        <is>
          <t>Handwork</t>
        </is>
      </c>
      <c r="D50" s="11" t="n">
        <v>0</v>
      </c>
      <c r="E50" s="11" t="n">
        <v>0</v>
      </c>
      <c r="F50" s="11" t="n">
        <v>0</v>
      </c>
      <c r="G50" s="9" t="inlineStr">
        <is>
          <t>n/a</t>
        </is>
      </c>
      <c r="H50" s="9" t="inlineStr"/>
      <c r="I50" s="12" t="inlineStr"/>
    </row>
    <row r="51">
      <c r="A51" s="13" t="n"/>
      <c r="B51" s="13" t="inlineStr">
        <is>
          <t>250</t>
        </is>
      </c>
      <c r="C51" s="14" t="inlineStr">
        <is>
          <t>TOTAL SELL</t>
        </is>
      </c>
      <c r="D51" s="15" t="n">
        <v>991.12</v>
      </c>
      <c r="E51" s="15" t="n">
        <v>818.97</v>
      </c>
      <c r="F51" s="15" t="n">
        <v>172.15</v>
      </c>
      <c r="G51" s="13" t="inlineStr">
        <is>
          <t>+21%</t>
        </is>
      </c>
      <c r="H51" s="16" t="inlineStr">
        <is>
          <t>FAIL</t>
        </is>
      </c>
      <c r="I51" s="13" t="inlineStr"/>
    </row>
    <row r="53">
      <c r="A53" s="7" t="inlineStr">
        <is>
          <t>48 Count Nacho Fiesta - SPOT RW-260706-110912 - iQuote #223498 - qty 350 - iQuote OptDesc: Option 1</t>
        </is>
      </c>
    </row>
    <row r="54">
      <c r="A54" s="8" t="inlineStr">
        <is>
          <t xml:space="preserve">    Resolution: only one option available</t>
        </is>
      </c>
    </row>
    <row r="55">
      <c r="A55" s="9" t="n"/>
      <c r="B55" s="9" t="inlineStr">
        <is>
          <t>350</t>
        </is>
      </c>
      <c r="C55" s="10" t="inlineStr">
        <is>
          <t>Material</t>
        </is>
      </c>
      <c r="D55" s="11" t="n">
        <v>144.54</v>
      </c>
      <c r="E55" s="11" t="n">
        <v>133.5309</v>
      </c>
      <c r="F55" s="11" t="n">
        <v>11.01</v>
      </c>
      <c r="G55" s="9" t="inlineStr">
        <is>
          <t>+8%</t>
        </is>
      </c>
      <c r="H55" s="9" t="inlineStr"/>
      <c r="I55" s="12" t="inlineStr"/>
    </row>
    <row r="56">
      <c r="A56" s="9" t="n"/>
      <c r="B56" s="9" t="n"/>
      <c r="C56" s="10" t="inlineStr">
        <is>
          <t>Print</t>
        </is>
      </c>
      <c r="D56" s="11" t="n">
        <v>166.01</v>
      </c>
      <c r="E56" s="11" t="n">
        <v>160.2296</v>
      </c>
      <c r="F56" s="11" t="n">
        <v>5.78</v>
      </c>
      <c r="G56" s="9" t="inlineStr">
        <is>
          <t>+4%</t>
        </is>
      </c>
      <c r="H56" s="9" t="inlineStr"/>
      <c r="I56" s="12" t="inlineStr"/>
    </row>
    <row r="57">
      <c r="A57" s="9" t="n"/>
      <c r="B57" s="9" t="n"/>
      <c r="C57" s="10" t="inlineStr">
        <is>
          <t>Cutting</t>
        </is>
      </c>
      <c r="D57" s="11" t="n">
        <v>174.69</v>
      </c>
      <c r="E57" s="11" t="n">
        <v>168.6667</v>
      </c>
      <c r="F57" s="11" t="n">
        <v>6.02</v>
      </c>
      <c r="G57" s="9" t="inlineStr">
        <is>
          <t>+4%</t>
        </is>
      </c>
      <c r="H57" s="9" t="inlineStr"/>
      <c r="I57" s="12" t="inlineStr"/>
    </row>
    <row r="58">
      <c r="A58" s="9" t="n"/>
      <c r="B58" s="9" t="n"/>
      <c r="C58" s="10" t="inlineStr">
        <is>
          <t>Handwork</t>
        </is>
      </c>
      <c r="D58" s="11" t="n">
        <v>0</v>
      </c>
      <c r="E58" s="11" t="n">
        <v>0</v>
      </c>
      <c r="F58" s="11" t="n">
        <v>0</v>
      </c>
      <c r="G58" s="9" t="inlineStr">
        <is>
          <t>n/a</t>
        </is>
      </c>
      <c r="H58" s="9" t="inlineStr"/>
      <c r="I58" s="12" t="inlineStr"/>
    </row>
    <row r="59">
      <c r="A59" s="13" t="n"/>
      <c r="B59" s="13" t="inlineStr">
        <is>
          <t>350</t>
        </is>
      </c>
      <c r="C59" s="14" t="inlineStr">
        <is>
          <t>TOTAL SELL</t>
        </is>
      </c>
      <c r="D59" s="15" t="n">
        <v>1208.46</v>
      </c>
      <c r="E59" s="15" t="n">
        <v>958.6</v>
      </c>
      <c r="F59" s="15" t="n">
        <v>249.86</v>
      </c>
      <c r="G59" s="13" t="inlineStr">
        <is>
          <t>+26%</t>
        </is>
      </c>
      <c r="H59" s="16" t="inlineStr">
        <is>
          <t>FAIL</t>
        </is>
      </c>
      <c r="I59" s="13" t="inlineStr"/>
    </row>
    <row r="61">
      <c r="A61" s="7" t="inlineStr">
        <is>
          <t>48 Count Nacho Fiesta - SPOT RW-260706-110912 - iQuote #223498 - qty 500 - iQuote OptDesc: Option 1</t>
        </is>
      </c>
    </row>
    <row r="62">
      <c r="A62" s="8" t="inlineStr">
        <is>
          <t xml:space="preserve">    Resolution: only one option available</t>
        </is>
      </c>
    </row>
    <row r="63">
      <c r="A63" s="9" t="n"/>
      <c r="B63" s="9" t="inlineStr">
        <is>
          <t>500</t>
        </is>
      </c>
      <c r="C63" s="10" t="inlineStr">
        <is>
          <t>Material</t>
        </is>
      </c>
      <c r="D63" s="11" t="n">
        <v>184.69</v>
      </c>
      <c r="E63" s="11" t="n">
        <v>180.6595</v>
      </c>
      <c r="F63" s="11" t="n">
        <v>4.03</v>
      </c>
      <c r="G63" s="9" t="inlineStr">
        <is>
          <t>+2%</t>
        </is>
      </c>
      <c r="H63" s="9" t="inlineStr"/>
      <c r="I63" s="12" t="inlineStr"/>
    </row>
    <row r="64">
      <c r="A64" s="9" t="n"/>
      <c r="B64" s="9" t="n"/>
      <c r="C64" s="10" t="inlineStr">
        <is>
          <t>Print</t>
        </is>
      </c>
      <c r="D64" s="11" t="n">
        <v>212.13</v>
      </c>
      <c r="E64" s="11" t="n">
        <v>200.2239</v>
      </c>
      <c r="F64" s="11" t="n">
        <v>11.91</v>
      </c>
      <c r="G64" s="9" t="inlineStr">
        <is>
          <t>+6%</t>
        </is>
      </c>
      <c r="H64" s="9" t="inlineStr"/>
      <c r="I64" s="12" t="inlineStr"/>
    </row>
    <row r="65">
      <c r="A65" s="9" t="n"/>
      <c r="B65" s="9" t="n"/>
      <c r="C65" s="10" t="inlineStr">
        <is>
          <t>Cutting</t>
        </is>
      </c>
      <c r="D65" s="11" t="n">
        <v>223.52</v>
      </c>
      <c r="E65" s="11" t="n">
        <v>226.1667</v>
      </c>
      <c r="F65" s="11" t="n">
        <v>-2.65</v>
      </c>
      <c r="G65" s="9" t="inlineStr">
        <is>
          <t>-1%</t>
        </is>
      </c>
      <c r="H65" s="9" t="inlineStr"/>
      <c r="I65" s="12" t="inlineStr"/>
    </row>
    <row r="66">
      <c r="A66" s="9" t="n"/>
      <c r="B66" s="9" t="n"/>
      <c r="C66" s="10" t="inlineStr">
        <is>
          <t>Handwork</t>
        </is>
      </c>
      <c r="D66" s="11" t="n">
        <v>0</v>
      </c>
      <c r="E66" s="11" t="n">
        <v>0</v>
      </c>
      <c r="F66" s="11" t="n">
        <v>0</v>
      </c>
      <c r="G66" s="9" t="inlineStr">
        <is>
          <t>n/a</t>
        </is>
      </c>
      <c r="H66" s="9" t="inlineStr"/>
      <c r="I66" s="12" t="inlineStr"/>
    </row>
    <row r="67">
      <c r="A67" s="13" t="n"/>
      <c r="B67" s="13" t="inlineStr">
        <is>
          <t>500</t>
        </is>
      </c>
      <c r="C67" s="14" t="inlineStr">
        <is>
          <t>TOTAL SELL</t>
        </is>
      </c>
      <c r="D67" s="15" t="n">
        <v>1478.65</v>
      </c>
      <c r="E67" s="15" t="n">
        <v>1168.02</v>
      </c>
      <c r="F67" s="15" t="n">
        <v>310.63</v>
      </c>
      <c r="G67" s="13" t="inlineStr">
        <is>
          <t>+27%</t>
        </is>
      </c>
      <c r="H67" s="16" t="inlineStr">
        <is>
          <t>FAIL</t>
        </is>
      </c>
      <c r="I67" s="13" t="inlineStr"/>
    </row>
    <row r="69">
      <c r="A69" s="7" t="inlineStr">
        <is>
          <t>48 Count Nacho Fiesta - SPOT RW-260706-110912 - iQuote #223498 - qty 750 - iQuote OptDesc: Option 1</t>
        </is>
      </c>
    </row>
    <row r="70">
      <c r="A70" s="8" t="inlineStr">
        <is>
          <t xml:space="preserve">    Resolution: only one option available</t>
        </is>
      </c>
    </row>
    <row r="71">
      <c r="A71" s="9" t="n"/>
      <c r="B71" s="9" t="inlineStr">
        <is>
          <t>750</t>
        </is>
      </c>
      <c r="C71" s="10" t="inlineStr">
        <is>
          <t>Material</t>
        </is>
      </c>
      <c r="D71" s="11" t="n">
        <v>248.94</v>
      </c>
      <c r="E71" s="11" t="n">
        <v>259.2071</v>
      </c>
      <c r="F71" s="11" t="n">
        <v>-10.27</v>
      </c>
      <c r="G71" s="9" t="inlineStr">
        <is>
          <t>-4%</t>
        </is>
      </c>
      <c r="H71" s="9" t="inlineStr"/>
      <c r="I71" s="12" t="inlineStr"/>
    </row>
    <row r="72">
      <c r="A72" s="9" t="n"/>
      <c r="B72" s="9" t="n"/>
      <c r="C72" s="10" t="inlineStr">
        <is>
          <t>Print</t>
        </is>
      </c>
      <c r="D72" s="11" t="n">
        <v>285.91</v>
      </c>
      <c r="E72" s="11" t="n">
        <v>266.8816</v>
      </c>
      <c r="F72" s="11" t="n">
        <v>19.03</v>
      </c>
      <c r="G72" s="9" t="inlineStr">
        <is>
          <t>+7%</t>
        </is>
      </c>
      <c r="H72" s="9" t="inlineStr"/>
      <c r="I72" s="12" t="inlineStr"/>
    </row>
    <row r="73">
      <c r="A73" s="9" t="n"/>
      <c r="B73" s="9" t="n"/>
      <c r="C73" s="10" t="inlineStr">
        <is>
          <t>Cutting</t>
        </is>
      </c>
      <c r="D73" s="11" t="n">
        <v>301.65</v>
      </c>
      <c r="E73" s="11" t="n">
        <v>322</v>
      </c>
      <c r="F73" s="11" t="n">
        <v>-20.35</v>
      </c>
      <c r="G73" s="9" t="inlineStr">
        <is>
          <t>-6%</t>
        </is>
      </c>
      <c r="H73" s="9" t="inlineStr"/>
      <c r="I73" s="12" t="inlineStr"/>
    </row>
    <row r="74">
      <c r="A74" s="9" t="n"/>
      <c r="B74" s="9" t="n"/>
      <c r="C74" s="10" t="inlineStr">
        <is>
          <t>Handwork</t>
        </is>
      </c>
      <c r="D74" s="11" t="n">
        <v>0</v>
      </c>
      <c r="E74" s="11" t="n">
        <v>0</v>
      </c>
      <c r="F74" s="11" t="n">
        <v>0</v>
      </c>
      <c r="G74" s="9" t="inlineStr">
        <is>
          <t>n/a</t>
        </is>
      </c>
      <c r="H74" s="9" t="inlineStr"/>
      <c r="I74" s="12" t="inlineStr"/>
    </row>
    <row r="75">
      <c r="A75" s="13" t="n"/>
      <c r="B75" s="13" t="inlineStr">
        <is>
          <t>750</t>
        </is>
      </c>
      <c r="C75" s="14" t="inlineStr">
        <is>
          <t>TOTAL SELL</t>
        </is>
      </c>
      <c r="D75" s="15" t="n">
        <v>1565.74</v>
      </c>
      <c r="E75" s="15" t="n">
        <v>1517.07</v>
      </c>
      <c r="F75" s="15" t="n">
        <v>48.67</v>
      </c>
      <c r="G75" s="13" t="inlineStr">
        <is>
          <t>+3%</t>
        </is>
      </c>
      <c r="H75" s="17" t="inlineStr">
        <is>
          <t>PASS</t>
        </is>
      </c>
      <c r="I75" s="13" t="inlineStr"/>
    </row>
    <row r="77">
      <c r="A77" s="7" t="inlineStr">
        <is>
          <t>8FT LED Tubes / 95053687 - SPOT RW-260727-101129 - iQuote #223454 - qty 220 - BECAME A JOB - iQuote OptDesc: Option 1 - D/C</t>
        </is>
      </c>
    </row>
    <row r="78">
      <c r="A78" s="8" t="inlineStr">
        <is>
          <t xml:space="preserve">    Resolution: only one option available</t>
        </is>
      </c>
    </row>
    <row r="79">
      <c r="A79" s="9" t="n"/>
      <c r="B79" s="9" t="inlineStr">
        <is>
          <t>220</t>
        </is>
      </c>
      <c r="C79" s="10" t="inlineStr">
        <is>
          <t>Material</t>
        </is>
      </c>
      <c r="D79" s="11" t="n">
        <v>1479.09</v>
      </c>
      <c r="E79" s="11" t="n">
        <v>1507.88</v>
      </c>
      <c r="F79" s="11" t="n">
        <v>-28.79</v>
      </c>
      <c r="G79" s="9" t="inlineStr">
        <is>
          <t>-2%</t>
        </is>
      </c>
      <c r="H79" s="9" t="inlineStr"/>
      <c r="I79" s="12" t="inlineStr"/>
    </row>
    <row r="80">
      <c r="A80" s="9" t="n"/>
      <c r="B80" s="9" t="n"/>
      <c r="C80" s="10" t="inlineStr">
        <is>
          <t>Print</t>
        </is>
      </c>
      <c r="D80" s="11" t="n">
        <v>2062.33</v>
      </c>
      <c r="E80" s="11" t="n">
        <v>1187.2532</v>
      </c>
      <c r="F80" s="11" t="n">
        <v>875.08</v>
      </c>
      <c r="G80" s="9" t="inlineStr">
        <is>
          <t>+74%</t>
        </is>
      </c>
      <c r="H80" s="9" t="inlineStr"/>
      <c r="I80" s="12" t="inlineStr"/>
    </row>
    <row r="81">
      <c r="A81" s="9" t="n"/>
      <c r="B81" s="9" t="n"/>
      <c r="C81" s="10" t="inlineStr">
        <is>
          <t>Cutting</t>
        </is>
      </c>
      <c r="D81" s="11" t="n">
        <v>423.38</v>
      </c>
      <c r="E81" s="11" t="n">
        <v>402.2044</v>
      </c>
      <c r="F81" s="11" t="n">
        <v>21.18</v>
      </c>
      <c r="G81" s="9" t="inlineStr">
        <is>
          <t>+5%</t>
        </is>
      </c>
      <c r="H81" s="9" t="inlineStr"/>
      <c r="I81" s="12" t="inlineStr"/>
    </row>
    <row r="82">
      <c r="A82" s="9" t="n"/>
      <c r="B82" s="9" t="n"/>
      <c r="C82" s="10" t="inlineStr">
        <is>
          <t>Handwork</t>
        </is>
      </c>
      <c r="D82" s="11" t="n">
        <v>313.5</v>
      </c>
      <c r="E82" s="11" t="n">
        <v>49.0916</v>
      </c>
      <c r="F82" s="11" t="n">
        <v>264.41</v>
      </c>
      <c r="G82" s="9" t="inlineStr">
        <is>
          <t>+539%</t>
        </is>
      </c>
      <c r="H82" s="9" t="inlineStr"/>
      <c r="I82" s="12" t="inlineStr"/>
    </row>
    <row r="83">
      <c r="A83" s="9" t="n"/>
      <c r="B83" s="9" t="n"/>
      <c r="C83" s="10" t="inlineStr">
        <is>
          <t>Die</t>
        </is>
      </c>
      <c r="D83" s="11" t="n">
        <v>1380</v>
      </c>
      <c r="E83" s="9" t="n"/>
      <c r="F83" s="9" t="n"/>
      <c r="G83" s="9" t="inlineStr">
        <is>
          <t>n/a</t>
        </is>
      </c>
      <c r="H83" s="9" t="inlineStr"/>
      <c r="I83" s="12" t="inlineStr">
        <is>
          <t>iQuote export does not include die cost</t>
        </is>
      </c>
    </row>
    <row r="84">
      <c r="A84" s="13" t="n"/>
      <c r="B84" s="13" t="inlineStr">
        <is>
          <t>220</t>
        </is>
      </c>
      <c r="C84" s="14" t="inlineStr">
        <is>
          <t>TOTAL SELL</t>
        </is>
      </c>
      <c r="D84" s="15" t="n">
        <v>5824.4</v>
      </c>
      <c r="E84" s="15" t="n">
        <v>6164.32</v>
      </c>
      <c r="F84" s="15" t="n">
        <v>-339.92</v>
      </c>
      <c r="G84" s="13" t="inlineStr">
        <is>
          <t>-6%</t>
        </is>
      </c>
      <c r="H84" s="17" t="inlineStr">
        <is>
          <t>PASS</t>
        </is>
      </c>
      <c r="I84" s="13" t="inlineStr"/>
    </row>
    <row r="86">
      <c r="A86" s="7" t="inlineStr">
        <is>
          <t>ACE HARDWARE 42 GAL TRASH BIN (REV) - SPOT RW-260727-080830 - iQuote #223209 - qty 1 - BECAME A JOB - iQuote OptDesc: Option 1</t>
        </is>
      </c>
    </row>
    <row r="87">
      <c r="A87" s="8" t="inlineStr">
        <is>
          <t xml:space="preserve">    Resolution: only one option available</t>
        </is>
      </c>
    </row>
    <row r="88">
      <c r="A88" s="9" t="n"/>
      <c r="B88" s="9" t="inlineStr">
        <is>
          <t>1</t>
        </is>
      </c>
      <c r="C88" s="10" t="inlineStr">
        <is>
          <t>Material</t>
        </is>
      </c>
      <c r="D88" s="11" t="n">
        <v>37.42</v>
      </c>
      <c r="E88" s="11" t="n">
        <v>21.8096</v>
      </c>
      <c r="F88" s="11" t="n">
        <v>15.61</v>
      </c>
      <c r="G88" s="9" t="inlineStr">
        <is>
          <t>+72%</t>
        </is>
      </c>
      <c r="H88" s="9" t="inlineStr"/>
      <c r="I88" s="12" t="inlineStr"/>
    </row>
    <row r="89">
      <c r="A89" s="9" t="n"/>
      <c r="B89" s="9" t="n"/>
      <c r="C89" s="10" t="inlineStr">
        <is>
          <t>Print</t>
        </is>
      </c>
      <c r="D89" s="11" t="n">
        <v>60.27</v>
      </c>
      <c r="E89" s="11" t="n">
        <v>64.2124</v>
      </c>
      <c r="F89" s="11" t="n">
        <v>-3.94</v>
      </c>
      <c r="G89" s="9" t="inlineStr">
        <is>
          <t>-6%</t>
        </is>
      </c>
      <c r="H89" s="9" t="inlineStr"/>
      <c r="I89" s="12" t="inlineStr"/>
    </row>
    <row r="90">
      <c r="A90" s="9" t="n"/>
      <c r="B90" s="9" t="n"/>
      <c r="C90" s="10" t="inlineStr">
        <is>
          <t>Cutting</t>
        </is>
      </c>
      <c r="D90" s="11" t="n">
        <v>55.2</v>
      </c>
      <c r="E90" s="11" t="n">
        <v>36.6563</v>
      </c>
      <c r="F90" s="11" t="n">
        <v>18.54</v>
      </c>
      <c r="G90" s="9" t="inlineStr">
        <is>
          <t>+51%</t>
        </is>
      </c>
      <c r="H90" s="9" t="inlineStr"/>
      <c r="I90" s="12" t="inlineStr"/>
    </row>
    <row r="91">
      <c r="A91" s="9" t="n"/>
      <c r="B91" s="9" t="n"/>
      <c r="C91" s="10" t="inlineStr">
        <is>
          <t>Handwork</t>
        </is>
      </c>
      <c r="D91" s="11" t="n">
        <v>1.43</v>
      </c>
      <c r="E91" s="11" t="n">
        <v>0</v>
      </c>
      <c r="F91" s="11" t="n">
        <v>1.43</v>
      </c>
      <c r="G91" s="9" t="inlineStr">
        <is>
          <t>n/a</t>
        </is>
      </c>
      <c r="H91" s="9" t="inlineStr"/>
      <c r="I91" s="12" t="inlineStr"/>
    </row>
    <row r="92">
      <c r="A92" s="13" t="n"/>
      <c r="B92" s="13" t="inlineStr">
        <is>
          <t>1</t>
        </is>
      </c>
      <c r="C92" s="14" t="inlineStr">
        <is>
          <t>TOTAL SELL</t>
        </is>
      </c>
      <c r="D92" s="15" t="n">
        <v>453.63</v>
      </c>
      <c r="E92" s="15" t="n">
        <v>241.9</v>
      </c>
      <c r="F92" s="15" t="n">
        <v>211.73</v>
      </c>
      <c r="G92" s="13" t="inlineStr">
        <is>
          <t>+88%</t>
        </is>
      </c>
      <c r="H92" s="16" t="inlineStr">
        <is>
          <t>FAIL</t>
        </is>
      </c>
      <c r="I92" s="13" t="inlineStr"/>
    </row>
    <row r="94">
      <c r="A94" s="7" t="inlineStr">
        <is>
          <t>C8(C9) 26 LP Meijer Elvive Floorstand - 129729 - SPOT RW-260709-132147 - iQuote #221998 - qty 525 - iQuote OptDesc: Option 1 - D/C w/riser</t>
        </is>
      </c>
    </row>
    <row r="95">
      <c r="A95" s="8" t="inlineStr">
        <is>
          <t xml:space="preserve">    Resolution: per-qty override: 'Option 1 - D/C w/riser' at iQuote qty 525 - Panels + Riser + Box (qty 525 - excl shelves)</t>
        </is>
      </c>
    </row>
    <row r="96">
      <c r="A96" s="9" t="n"/>
      <c r="B96" s="9" t="inlineStr">
        <is>
          <t>525</t>
        </is>
      </c>
      <c r="C96" s="10" t="inlineStr">
        <is>
          <t>Material</t>
        </is>
      </c>
      <c r="D96" s="11" t="n">
        <v>5655.53</v>
      </c>
      <c r="E96" s="11" t="n">
        <v>6914.563700000001</v>
      </c>
      <c r="F96" s="11" t="n">
        <v>-1259.03</v>
      </c>
      <c r="G96" s="9" t="inlineStr">
        <is>
          <t>-18%</t>
        </is>
      </c>
      <c r="H96" s="9" t="inlineStr"/>
      <c r="I96" s="12" t="inlineStr"/>
    </row>
    <row r="97">
      <c r="A97" s="9" t="n"/>
      <c r="B97" s="9" t="n"/>
      <c r="C97" s="10" t="inlineStr">
        <is>
          <t>Print</t>
        </is>
      </c>
      <c r="D97" s="11" t="n">
        <v>7099.04</v>
      </c>
      <c r="E97" s="11" t="n">
        <v>6201.2639</v>
      </c>
      <c r="F97" s="11" t="n">
        <v>897.78</v>
      </c>
      <c r="G97" s="9" t="inlineStr">
        <is>
          <t>+14%</t>
        </is>
      </c>
      <c r="H97" s="9" t="inlineStr"/>
      <c r="I97" s="12" t="inlineStr"/>
    </row>
    <row r="98">
      <c r="A98" s="9" t="n"/>
      <c r="B98" s="9" t="n"/>
      <c r="C98" s="10" t="inlineStr">
        <is>
          <t>Cutting</t>
        </is>
      </c>
      <c r="D98" s="11" t="n">
        <v>2069.83</v>
      </c>
      <c r="E98" s="11" t="n">
        <v>2770.0997</v>
      </c>
      <c r="F98" s="11" t="n">
        <v>-700.27</v>
      </c>
      <c r="G98" s="9" t="inlineStr">
        <is>
          <t>-25%</t>
        </is>
      </c>
      <c r="H98" s="9" t="inlineStr"/>
      <c r="I98" s="12" t="inlineStr"/>
    </row>
    <row r="99">
      <c r="A99" s="9" t="n"/>
      <c r="B99" s="9" t="n"/>
      <c r="C99" s="10" t="inlineStr">
        <is>
          <t>Handwork</t>
        </is>
      </c>
      <c r="D99" s="11" t="n">
        <v>601.0799999999999</v>
      </c>
      <c r="E99" s="11" t="n">
        <v>1085.322</v>
      </c>
      <c r="F99" s="11" t="n">
        <v>-484.24</v>
      </c>
      <c r="G99" s="9" t="inlineStr">
        <is>
          <t>-45%</t>
        </is>
      </c>
      <c r="H99" s="9" t="inlineStr"/>
      <c r="I99" s="12" t="inlineStr"/>
    </row>
    <row r="100">
      <c r="A100" s="9" t="n"/>
      <c r="B100" s="9" t="n"/>
      <c r="C100" s="10" t="inlineStr">
        <is>
          <t>Die</t>
        </is>
      </c>
      <c r="D100" s="11" t="n">
        <v>5520</v>
      </c>
      <c r="E100" s="9" t="n"/>
      <c r="F100" s="9" t="n"/>
      <c r="G100" s="9" t="inlineStr">
        <is>
          <t>n/a</t>
        </is>
      </c>
      <c r="H100" s="9" t="inlineStr"/>
      <c r="I100" s="12" t="inlineStr">
        <is>
          <t>iQuote export does not include die cost</t>
        </is>
      </c>
    </row>
    <row r="101">
      <c r="A101" s="13" t="n"/>
      <c r="B101" s="13" t="inlineStr">
        <is>
          <t>525</t>
        </is>
      </c>
      <c r="C101" s="14" t="inlineStr">
        <is>
          <t>TOTAL SELL</t>
        </is>
      </c>
      <c r="D101" s="15" t="n">
        <v>21441.56</v>
      </c>
      <c r="E101" s="15" t="n">
        <v>33560.95</v>
      </c>
      <c r="F101" s="15" t="n">
        <v>-12119.39</v>
      </c>
      <c r="G101" s="13" t="inlineStr">
        <is>
          <t>-36%</t>
        </is>
      </c>
      <c r="H101" s="16" t="inlineStr">
        <is>
          <t>FAIL</t>
        </is>
      </c>
      <c r="I101" s="13" t="inlineStr"/>
    </row>
    <row r="103">
      <c r="A103" s="7" t="inlineStr">
        <is>
          <t>C8(C9) 26 LP Meijer Elvive Floorstand - 129729 - SPOT RW-260709-132147 - iQuote #221998 - qty 1575 - iQuote OptDesc: Option 1 - D/C w/riser</t>
        </is>
      </c>
    </row>
    <row r="104">
      <c r="A104" s="8" t="inlineStr">
        <is>
          <t xml:space="preserve">    Resolution: per-qty override: 'Option 1 - D/C w/riser' at iQuote qty 525 - Shelves 1+2+3 at qty 525</t>
        </is>
      </c>
    </row>
    <row r="105">
      <c r="A105" s="9" t="n"/>
      <c r="B105" s="9" t="inlineStr">
        <is>
          <t>1575</t>
        </is>
      </c>
      <c r="C105" s="10" t="inlineStr">
        <is>
          <t>Material</t>
        </is>
      </c>
      <c r="D105" s="11" t="n">
        <v>3786.64</v>
      </c>
      <c r="E105" s="11" t="n">
        <v>3737.043</v>
      </c>
      <c r="F105" s="11" t="n">
        <v>49.6</v>
      </c>
      <c r="G105" s="9" t="inlineStr">
        <is>
          <t>+1%</t>
        </is>
      </c>
      <c r="H105" s="9" t="inlineStr"/>
      <c r="I105" s="12" t="inlineStr"/>
    </row>
    <row r="106">
      <c r="A106" s="9" t="n"/>
      <c r="B106" s="9" t="n"/>
      <c r="C106" s="10" t="inlineStr">
        <is>
          <t>Print</t>
        </is>
      </c>
      <c r="D106" s="11" t="n">
        <v>4850.97</v>
      </c>
      <c r="E106" s="11" t="n">
        <v>2266.1814</v>
      </c>
      <c r="F106" s="11" t="n">
        <v>2584.79</v>
      </c>
      <c r="G106" s="9" t="inlineStr">
        <is>
          <t>+114%</t>
        </is>
      </c>
      <c r="H106" s="9" t="inlineStr"/>
      <c r="I106" s="12" t="inlineStr"/>
    </row>
    <row r="107">
      <c r="A107" s="9" t="n"/>
      <c r="B107" s="9" t="n"/>
      <c r="C107" s="10" t="inlineStr">
        <is>
          <t>Cutting</t>
        </is>
      </c>
      <c r="D107" s="11" t="n">
        <v>811.75</v>
      </c>
      <c r="E107" s="11" t="n">
        <v>2295.4851</v>
      </c>
      <c r="F107" s="11" t="n">
        <v>-1483.74</v>
      </c>
      <c r="G107" s="9" t="inlineStr">
        <is>
          <t>-65%</t>
        </is>
      </c>
      <c r="H107" s="9" t="inlineStr"/>
      <c r="I107" s="12" t="inlineStr"/>
    </row>
    <row r="108">
      <c r="A108" s="9" t="n"/>
      <c r="B108" s="9" t="n"/>
      <c r="C108" s="10" t="inlineStr">
        <is>
          <t>Handwork</t>
        </is>
      </c>
      <c r="D108" s="11" t="n">
        <v>0</v>
      </c>
      <c r="E108" s="11" t="n">
        <v>301.2795</v>
      </c>
      <c r="F108" s="11" t="n">
        <v>-301.28</v>
      </c>
      <c r="G108" s="9" t="inlineStr">
        <is>
          <t>-100%</t>
        </is>
      </c>
      <c r="H108" s="9" t="inlineStr"/>
      <c r="I108" s="12" t="inlineStr"/>
    </row>
    <row r="109">
      <c r="A109" s="9" t="n"/>
      <c r="B109" s="9" t="n"/>
      <c r="C109" s="10" t="inlineStr">
        <is>
          <t>Die</t>
        </is>
      </c>
      <c r="D109" s="11" t="n">
        <v>1380</v>
      </c>
      <c r="E109" s="9" t="n"/>
      <c r="F109" s="9" t="n"/>
      <c r="G109" s="9" t="inlineStr">
        <is>
          <t>n/a</t>
        </is>
      </c>
      <c r="H109" s="9" t="inlineStr"/>
      <c r="I109" s="12" t="inlineStr">
        <is>
          <t>iQuote export does not include die cost</t>
        </is>
      </c>
    </row>
    <row r="110">
      <c r="A110" s="13" t="n"/>
      <c r="B110" s="13" t="inlineStr">
        <is>
          <t>1575</t>
        </is>
      </c>
      <c r="C110" s="14" t="inlineStr">
        <is>
          <t>TOTAL SELL</t>
        </is>
      </c>
      <c r="D110" s="15" t="n">
        <v>12649.14</v>
      </c>
      <c r="E110" s="15" t="n">
        <v>13075.83</v>
      </c>
      <c r="F110" s="15" t="n">
        <v>-426.69</v>
      </c>
      <c r="G110" s="13" t="inlineStr">
        <is>
          <t>-3%</t>
        </is>
      </c>
      <c r="H110" s="17" t="inlineStr">
        <is>
          <t>PASS</t>
        </is>
      </c>
      <c r="I110" s="13" t="inlineStr"/>
    </row>
    <row r="112">
      <c r="A112" s="7" t="inlineStr">
        <is>
          <t>CAL-AC22 - SPOT RW-260730-164119 - iQuote #223911 - qty 1000 - iQuote OptDesc: Option 1</t>
        </is>
      </c>
    </row>
    <row r="113">
      <c r="A113" s="8" t="inlineStr">
        <is>
          <t xml:space="preserve">    Resolution: only one option available</t>
        </is>
      </c>
    </row>
    <row r="114">
      <c r="A114" s="9" t="n"/>
      <c r="B114" s="9" t="inlineStr">
        <is>
          <t>1000</t>
        </is>
      </c>
      <c r="C114" s="10" t="inlineStr">
        <is>
          <t>Material</t>
        </is>
      </c>
      <c r="D114" s="11" t="n">
        <v>464.36</v>
      </c>
      <c r="E114" s="11" t="n">
        <v>500.3375</v>
      </c>
      <c r="F114" s="11" t="n">
        <v>-35.98</v>
      </c>
      <c r="G114" s="9" t="inlineStr">
        <is>
          <t>-7%</t>
        </is>
      </c>
      <c r="H114" s="9" t="inlineStr"/>
      <c r="I114" s="12" t="inlineStr"/>
    </row>
    <row r="115">
      <c r="A115" s="9" t="n"/>
      <c r="B115" s="9" t="n"/>
      <c r="C115" s="10" t="inlineStr">
        <is>
          <t>Print</t>
        </is>
      </c>
      <c r="D115" s="11" t="n">
        <v>627.67</v>
      </c>
      <c r="E115" s="11" t="n">
        <v>498.3171</v>
      </c>
      <c r="F115" s="11" t="n">
        <v>129.35</v>
      </c>
      <c r="G115" s="9" t="inlineStr">
        <is>
          <t>+26%</t>
        </is>
      </c>
      <c r="H115" s="9" t="inlineStr"/>
      <c r="I115" s="12" t="inlineStr"/>
    </row>
    <row r="116">
      <c r="A116" s="9" t="n"/>
      <c r="B116" s="9" t="n"/>
      <c r="C116" s="10" t="inlineStr">
        <is>
          <t>Cutting</t>
        </is>
      </c>
      <c r="D116" s="11" t="n">
        <v>1022.22</v>
      </c>
      <c r="E116" s="11" t="n">
        <v>488.4585</v>
      </c>
      <c r="F116" s="11" t="n">
        <v>533.76</v>
      </c>
      <c r="G116" s="9" t="inlineStr">
        <is>
          <t>+109%</t>
        </is>
      </c>
      <c r="H116" s="9" t="inlineStr"/>
      <c r="I116" s="12" t="inlineStr"/>
    </row>
    <row r="117">
      <c r="A117" s="9" t="n"/>
      <c r="B117" s="9" t="n"/>
      <c r="C117" s="10" t="inlineStr">
        <is>
          <t>Handwork</t>
        </is>
      </c>
      <c r="D117" s="11" t="n">
        <v>0</v>
      </c>
      <c r="E117" s="11" t="n">
        <v>420.9786</v>
      </c>
      <c r="F117" s="11" t="n">
        <v>-420.98</v>
      </c>
      <c r="G117" s="9" t="inlineStr">
        <is>
          <t>-100%</t>
        </is>
      </c>
      <c r="H117" s="9" t="inlineStr"/>
      <c r="I117" s="12" t="inlineStr"/>
    </row>
    <row r="118">
      <c r="A118" s="13" t="n"/>
      <c r="B118" s="13" t="inlineStr">
        <is>
          <t>1000</t>
        </is>
      </c>
      <c r="C118" s="14" t="inlineStr">
        <is>
          <t>TOTAL SELL</t>
        </is>
      </c>
      <c r="D118" s="15" t="n">
        <v>3254.19</v>
      </c>
      <c r="E118" s="15" t="n">
        <v>4172.85</v>
      </c>
      <c r="F118" s="15" t="n">
        <v>-918.66</v>
      </c>
      <c r="G118" s="13" t="inlineStr">
        <is>
          <t>-22%</t>
        </is>
      </c>
      <c r="H118" s="16" t="inlineStr">
        <is>
          <t>FAIL</t>
        </is>
      </c>
      <c r="I118" s="13" t="inlineStr"/>
    </row>
    <row r="120">
      <c r="A120" s="7" t="inlineStr">
        <is>
          <t>CAL-AC22 - SPOT RW-260730-164119 - iQuote #223911 - qty 1500 - iQuote OptDesc: Option 1</t>
        </is>
      </c>
    </row>
    <row r="121">
      <c r="A121" s="8" t="inlineStr">
        <is>
          <t xml:space="preserve">    Resolution: only one option available</t>
        </is>
      </c>
    </row>
    <row r="122">
      <c r="A122" s="9" t="n"/>
      <c r="B122" s="9" t="inlineStr">
        <is>
          <t>1500</t>
        </is>
      </c>
      <c r="C122" s="10" t="inlineStr">
        <is>
          <t>Material</t>
        </is>
      </c>
      <c r="D122" s="11" t="n">
        <v>670.01</v>
      </c>
      <c r="E122" s="11" t="n">
        <v>736.4519</v>
      </c>
      <c r="F122" s="11" t="n">
        <v>-66.44</v>
      </c>
      <c r="G122" s="9" t="inlineStr">
        <is>
          <t>-9%</t>
        </is>
      </c>
      <c r="H122" s="9" t="inlineStr"/>
      <c r="I122" s="12" t="inlineStr"/>
    </row>
    <row r="123">
      <c r="A123" s="9" t="n"/>
      <c r="B123" s="9" t="n"/>
      <c r="C123" s="10" t="inlineStr">
        <is>
          <t>Print</t>
        </is>
      </c>
      <c r="D123" s="11" t="n">
        <v>905.63</v>
      </c>
      <c r="E123" s="11" t="n">
        <v>710.4787</v>
      </c>
      <c r="F123" s="11" t="n">
        <v>195.15</v>
      </c>
      <c r="G123" s="9" t="inlineStr">
        <is>
          <t>+28%</t>
        </is>
      </c>
      <c r="H123" s="9" t="inlineStr"/>
      <c r="I123" s="12" t="inlineStr"/>
    </row>
    <row r="124">
      <c r="A124" s="9" t="n"/>
      <c r="B124" s="9" t="n"/>
      <c r="C124" s="10" t="inlineStr">
        <is>
          <t>Cutting</t>
        </is>
      </c>
      <c r="D124" s="11" t="n">
        <v>1502.59</v>
      </c>
      <c r="E124" s="11" t="n">
        <v>613.8452</v>
      </c>
      <c r="F124" s="11" t="n">
        <v>888.74</v>
      </c>
      <c r="G124" s="9" t="inlineStr">
        <is>
          <t>+145%</t>
        </is>
      </c>
      <c r="H124" s="9" t="inlineStr"/>
      <c r="I124" s="12" t="inlineStr"/>
    </row>
    <row r="125">
      <c r="A125" s="9" t="n"/>
      <c r="B125" s="9" t="n"/>
      <c r="C125" s="10" t="inlineStr">
        <is>
          <t>Handwork</t>
        </is>
      </c>
      <c r="D125" s="11" t="n">
        <v>0</v>
      </c>
      <c r="E125" s="11" t="n">
        <v>598.2488</v>
      </c>
      <c r="F125" s="11" t="n">
        <v>-598.25</v>
      </c>
      <c r="G125" s="9" t="inlineStr">
        <is>
          <t>-100%</t>
        </is>
      </c>
      <c r="H125" s="9" t="inlineStr"/>
      <c r="I125" s="12" t="inlineStr"/>
    </row>
    <row r="126">
      <c r="A126" s="13" t="n"/>
      <c r="B126" s="13" t="inlineStr">
        <is>
          <t>1500</t>
        </is>
      </c>
      <c r="C126" s="14" t="inlineStr">
        <is>
          <t>TOTAL SELL</t>
        </is>
      </c>
      <c r="D126" s="15" t="n">
        <v>4671.8</v>
      </c>
      <c r="E126" s="15" t="n">
        <v>5189.55</v>
      </c>
      <c r="F126" s="15" t="n">
        <v>-517.75</v>
      </c>
      <c r="G126" s="13" t="inlineStr">
        <is>
          <t>-10%</t>
        </is>
      </c>
      <c r="H126" s="17" t="inlineStr">
        <is>
          <t>PASS</t>
        </is>
      </c>
      <c r="I126" s="13" t="inlineStr"/>
    </row>
    <row r="128">
      <c r="A128" s="7" t="inlineStr">
        <is>
          <t>Case# 00011159 - REVISED - Targeted Pet Treats Shelf Display - SPOT RW-260730-154720 - iQuote #223784 - qty 1 - BECAME A JOB - iQuote OptDesc: Option 1</t>
        </is>
      </c>
    </row>
    <row r="129">
      <c r="A129" s="8" t="inlineStr">
        <is>
          <t xml:space="preserve">    Resolution: only one option available</t>
        </is>
      </c>
    </row>
    <row r="130">
      <c r="A130" s="9" t="n"/>
      <c r="B130" s="9" t="inlineStr">
        <is>
          <t>1</t>
        </is>
      </c>
      <c r="C130" s="10" t="inlineStr">
        <is>
          <t>Material</t>
        </is>
      </c>
      <c r="D130" s="11" t="n">
        <v>84.33</v>
      </c>
      <c r="E130" s="11" t="n">
        <v>54.9834</v>
      </c>
      <c r="F130" s="11" t="n">
        <v>29.35</v>
      </c>
      <c r="G130" s="9" t="inlineStr">
        <is>
          <t>+53%</t>
        </is>
      </c>
      <c r="H130" s="9" t="inlineStr"/>
      <c r="I130" s="12" t="inlineStr"/>
    </row>
    <row r="131">
      <c r="A131" s="9" t="n"/>
      <c r="B131" s="9" t="n"/>
      <c r="C131" s="10" t="inlineStr">
        <is>
          <t>Print</t>
        </is>
      </c>
      <c r="D131" s="11" t="n">
        <v>164.73</v>
      </c>
      <c r="E131" s="11" t="n">
        <v>139.5174</v>
      </c>
      <c r="F131" s="11" t="n">
        <v>25.21</v>
      </c>
      <c r="G131" s="9" t="inlineStr">
        <is>
          <t>+18%</t>
        </is>
      </c>
      <c r="H131" s="9" t="inlineStr"/>
      <c r="I131" s="12" t="inlineStr"/>
    </row>
    <row r="132">
      <c r="A132" s="9" t="n"/>
      <c r="B132" s="9" t="n"/>
      <c r="C132" s="10" t="inlineStr">
        <is>
          <t>Cutting</t>
        </is>
      </c>
      <c r="D132" s="11" t="n">
        <v>141.87</v>
      </c>
      <c r="E132" s="11" t="n">
        <v>78.1521</v>
      </c>
      <c r="F132" s="11" t="n">
        <v>63.72</v>
      </c>
      <c r="G132" s="9" t="inlineStr">
        <is>
          <t>+82%</t>
        </is>
      </c>
      <c r="H132" s="9" t="inlineStr"/>
      <c r="I132" s="12" t="inlineStr"/>
    </row>
    <row r="133">
      <c r="A133" s="9" t="n"/>
      <c r="B133" s="9" t="n"/>
      <c r="C133" s="10" t="inlineStr">
        <is>
          <t>Handwork</t>
        </is>
      </c>
      <c r="D133" s="11" t="n">
        <v>1.74</v>
      </c>
      <c r="E133" s="11" t="n">
        <v>21</v>
      </c>
      <c r="F133" s="11" t="n">
        <v>-19.26</v>
      </c>
      <c r="G133" s="9" t="inlineStr">
        <is>
          <t>-92%</t>
        </is>
      </c>
      <c r="H133" s="9" t="inlineStr"/>
      <c r="I133" s="12" t="inlineStr"/>
    </row>
    <row r="134">
      <c r="A134" s="13" t="n"/>
      <c r="B134" s="13" t="inlineStr">
        <is>
          <t>1</t>
        </is>
      </c>
      <c r="C134" s="14" t="inlineStr">
        <is>
          <t>TOTAL SELL</t>
        </is>
      </c>
      <c r="D134" s="15" t="n">
        <v>935.3399999999999</v>
      </c>
      <c r="E134" s="15" t="n">
        <v>646.66</v>
      </c>
      <c r="F134" s="15" t="n">
        <v>288.68</v>
      </c>
      <c r="G134" s="13" t="inlineStr">
        <is>
          <t>+45%</t>
        </is>
      </c>
      <c r="H134" s="16" t="inlineStr">
        <is>
          <t>FAIL</t>
        </is>
      </c>
      <c r="I134" s="13" t="inlineStr"/>
    </row>
    <row r="136">
      <c r="A136" s="7" t="inlineStr">
        <is>
          <t>Cento Authentic Italian Header - SPOT RW-260730-153734 - iQuote #223837 - qty 500 - BECAME A JOB - iQuote OptDesc: Option 1</t>
        </is>
      </c>
    </row>
    <row r="137">
      <c r="A137" s="8" t="inlineStr">
        <is>
          <t xml:space="preserve">    Resolution: only one option available - matched iQuote qty 501</t>
        </is>
      </c>
    </row>
    <row r="138">
      <c r="A138" s="9" t="n"/>
      <c r="B138" s="9" t="inlineStr">
        <is>
          <t>500</t>
        </is>
      </c>
      <c r="C138" s="10" t="inlineStr">
        <is>
          <t>Material</t>
        </is>
      </c>
      <c r="D138" s="11" t="n">
        <v>174.81</v>
      </c>
      <c r="E138" s="11" t="n">
        <v>180.6595</v>
      </c>
      <c r="F138" s="11" t="n">
        <v>-5.85</v>
      </c>
      <c r="G138" s="9" t="inlineStr">
        <is>
          <t>-3%</t>
        </is>
      </c>
      <c r="H138" s="9" t="inlineStr"/>
      <c r="I138" s="12" t="inlineStr"/>
    </row>
    <row r="139">
      <c r="A139" s="9" t="n"/>
      <c r="B139" s="9" t="n"/>
      <c r="C139" s="10" t="inlineStr">
        <is>
          <t>Print</t>
        </is>
      </c>
      <c r="D139" s="11" t="n">
        <v>215.2</v>
      </c>
      <c r="E139" s="11" t="n">
        <v>153.6628</v>
      </c>
      <c r="F139" s="11" t="n">
        <v>61.54</v>
      </c>
      <c r="G139" s="9" t="inlineStr">
        <is>
          <t>+40%</t>
        </is>
      </c>
      <c r="H139" s="9" t="inlineStr"/>
      <c r="I139" s="12" t="inlineStr"/>
    </row>
    <row r="140">
      <c r="A140" s="9" t="n"/>
      <c r="B140" s="9" t="n"/>
      <c r="C140" s="10" t="inlineStr">
        <is>
          <t>Cutting</t>
        </is>
      </c>
      <c r="D140" s="11" t="n">
        <v>211.6</v>
      </c>
      <c r="E140" s="11" t="n">
        <v>240.8627</v>
      </c>
      <c r="F140" s="11" t="n">
        <v>-29.26</v>
      </c>
      <c r="G140" s="9" t="inlineStr">
        <is>
          <t>-12%</t>
        </is>
      </c>
      <c r="H140" s="9" t="inlineStr"/>
      <c r="I140" s="12" t="inlineStr"/>
    </row>
    <row r="141">
      <c r="A141" s="9" t="n"/>
      <c r="B141" s="9" t="n"/>
      <c r="C141" s="10" t="inlineStr">
        <is>
          <t>Handwork</t>
        </is>
      </c>
      <c r="D141" s="11" t="n">
        <v>0</v>
      </c>
      <c r="E141" s="11" t="n">
        <v>0</v>
      </c>
      <c r="F141" s="11" t="n">
        <v>0</v>
      </c>
      <c r="G141" s="9" t="inlineStr">
        <is>
          <t>n/a</t>
        </is>
      </c>
      <c r="H141" s="9" t="inlineStr"/>
      <c r="I141" s="12" t="inlineStr"/>
    </row>
    <row r="142">
      <c r="A142" s="13" t="n"/>
      <c r="B142" s="13" t="inlineStr">
        <is>
          <t>500</t>
        </is>
      </c>
      <c r="C142" s="14" t="inlineStr">
        <is>
          <t>TOTAL SELL</t>
        </is>
      </c>
      <c r="D142" s="15" t="n">
        <v>1668.47</v>
      </c>
      <c r="E142" s="15" t="n">
        <v>1221.28</v>
      </c>
      <c r="F142" s="15" t="n">
        <v>447.19</v>
      </c>
      <c r="G142" s="13" t="inlineStr">
        <is>
          <t>+37%</t>
        </is>
      </c>
      <c r="H142" s="16" t="inlineStr">
        <is>
          <t>FAIL</t>
        </is>
      </c>
      <c r="I142" s="13" t="inlineStr"/>
    </row>
    <row r="144">
      <c r="A144" s="7" t="inlineStr">
        <is>
          <t>Concept 100 Valentines Day Display - SPOT RW-260723-084853 - iQuote #223791 - qty 8 - iQuote OptDesc: Option 1</t>
        </is>
      </c>
    </row>
    <row r="145">
      <c r="A145" s="8" t="inlineStr">
        <is>
          <t xml:space="preserve">    Resolution: only one option available</t>
        </is>
      </c>
    </row>
    <row r="146">
      <c r="A146" s="9" t="n"/>
      <c r="B146" s="9" t="inlineStr">
        <is>
          <t>8</t>
        </is>
      </c>
      <c r="C146" s="10" t="inlineStr">
        <is>
          <t>Material</t>
        </is>
      </c>
      <c r="D146" s="11" t="n">
        <v>599.7</v>
      </c>
      <c r="E146" s="11" t="n">
        <v>644.1761999999999</v>
      </c>
      <c r="F146" s="11" t="n">
        <v>-44.48</v>
      </c>
      <c r="G146" s="9" t="inlineStr">
        <is>
          <t>-7%</t>
        </is>
      </c>
      <c r="H146" s="9" t="inlineStr"/>
      <c r="I146" s="12" t="inlineStr"/>
    </row>
    <row r="147">
      <c r="A147" s="9" t="n"/>
      <c r="B147" s="9" t="n"/>
      <c r="C147" s="10" t="inlineStr">
        <is>
          <t>Print</t>
        </is>
      </c>
      <c r="D147" s="11" t="n">
        <v>1044.97</v>
      </c>
      <c r="E147" s="11" t="n">
        <v>1020.0664</v>
      </c>
      <c r="F147" s="11" t="n">
        <v>24.9</v>
      </c>
      <c r="G147" s="9" t="inlineStr">
        <is>
          <t>+2%</t>
        </is>
      </c>
      <c r="H147" s="9" t="inlineStr"/>
      <c r="I147" s="12" t="inlineStr"/>
    </row>
    <row r="148">
      <c r="A148" s="9" t="n"/>
      <c r="B148" s="9" t="n"/>
      <c r="C148" s="10" t="inlineStr">
        <is>
          <t>Cutting</t>
        </is>
      </c>
      <c r="D148" s="11" t="n">
        <v>613.6899999999999</v>
      </c>
      <c r="E148" s="11" t="n">
        <v>674.5517</v>
      </c>
      <c r="F148" s="11" t="n">
        <v>-60.86</v>
      </c>
      <c r="G148" s="9" t="inlineStr">
        <is>
          <t>-9%</t>
        </is>
      </c>
      <c r="H148" s="9" t="inlineStr"/>
      <c r="I148" s="12" t="inlineStr"/>
    </row>
    <row r="149">
      <c r="A149" s="9" t="n"/>
      <c r="B149" s="9" t="n"/>
      <c r="C149" s="10" t="inlineStr">
        <is>
          <t>Handwork</t>
        </is>
      </c>
      <c r="D149" s="11" t="n">
        <v>57.79999999999999</v>
      </c>
      <c r="E149" s="11" t="n">
        <v>0</v>
      </c>
      <c r="F149" s="11" t="n">
        <v>57.8</v>
      </c>
      <c r="G149" s="9" t="inlineStr">
        <is>
          <t>n/a</t>
        </is>
      </c>
      <c r="H149" s="9" t="inlineStr"/>
      <c r="I149" s="12" t="inlineStr"/>
    </row>
    <row r="150">
      <c r="A150" s="13" t="n"/>
      <c r="B150" s="13" t="inlineStr">
        <is>
          <t>8</t>
        </is>
      </c>
      <c r="C150" s="14" t="inlineStr">
        <is>
          <t>TOTAL SELL</t>
        </is>
      </c>
      <c r="D150" s="15" t="n">
        <v>5082.3</v>
      </c>
      <c r="E150" s="15" t="n">
        <v>4461.64</v>
      </c>
      <c r="F150" s="15" t="n">
        <v>620.66</v>
      </c>
      <c r="G150" s="13" t="inlineStr">
        <is>
          <t>+14%</t>
        </is>
      </c>
      <c r="H150" s="18" t="inlineStr">
        <is>
          <t>REVIEW</t>
        </is>
      </c>
      <c r="I150" s="13" t="inlineStr"/>
    </row>
    <row r="152">
      <c r="A152" s="7" t="inlineStr">
        <is>
          <t>Concept 100 Valentines Day Display - SPOT RW-260723-084853 - iQuote #223791 - qty 15 - iQuote OptDesc: Option 1</t>
        </is>
      </c>
    </row>
    <row r="153">
      <c r="A153" s="8" t="inlineStr">
        <is>
          <t xml:space="preserve">    Resolution: only one option available</t>
        </is>
      </c>
    </row>
    <row r="154">
      <c r="A154" s="9" t="n"/>
      <c r="B154" s="9" t="inlineStr">
        <is>
          <t>15</t>
        </is>
      </c>
      <c r="C154" s="10" t="inlineStr">
        <is>
          <t>Material</t>
        </is>
      </c>
      <c r="D154" s="11" t="n">
        <v>891.25</v>
      </c>
      <c r="E154" s="11" t="n">
        <v>805.1685999999999</v>
      </c>
      <c r="F154" s="11" t="n">
        <v>86.08</v>
      </c>
      <c r="G154" s="9" t="inlineStr">
        <is>
          <t>+11%</t>
        </is>
      </c>
      <c r="H154" s="9" t="inlineStr"/>
      <c r="I154" s="12" t="inlineStr"/>
    </row>
    <row r="155">
      <c r="A155" s="9" t="n"/>
      <c r="B155" s="9" t="n"/>
      <c r="C155" s="10" t="inlineStr">
        <is>
          <t>Print</t>
        </is>
      </c>
      <c r="D155" s="11" t="n">
        <v>1553.11</v>
      </c>
      <c r="E155" s="11" t="n">
        <v>1356.5619</v>
      </c>
      <c r="F155" s="11" t="n">
        <v>196.55</v>
      </c>
      <c r="G155" s="9" t="inlineStr">
        <is>
          <t>+14%</t>
        </is>
      </c>
      <c r="H155" s="9" t="inlineStr"/>
      <c r="I155" s="12" t="inlineStr"/>
    </row>
    <row r="156">
      <c r="A156" s="9" t="n"/>
      <c r="B156" s="9" t="n"/>
      <c r="C156" s="10" t="inlineStr">
        <is>
          <t>Cutting</t>
        </is>
      </c>
      <c r="D156" s="11" t="n">
        <v>790.99</v>
      </c>
      <c r="E156" s="11" t="n">
        <v>993.0971</v>
      </c>
      <c r="F156" s="11" t="n">
        <v>-202.11</v>
      </c>
      <c r="G156" s="9" t="inlineStr">
        <is>
          <t>-20%</t>
        </is>
      </c>
      <c r="H156" s="9" t="inlineStr"/>
      <c r="I156" s="12" t="inlineStr"/>
    </row>
    <row r="157">
      <c r="A157" s="9" t="n"/>
      <c r="B157" s="9" t="n"/>
      <c r="C157" s="10" t="inlineStr">
        <is>
          <t>Handwork</t>
        </is>
      </c>
      <c r="D157" s="11" t="n">
        <v>108.8</v>
      </c>
      <c r="E157" s="11" t="n">
        <v>0</v>
      </c>
      <c r="F157" s="11" t="n">
        <v>108.8</v>
      </c>
      <c r="G157" s="9" t="inlineStr">
        <is>
          <t>n/a</t>
        </is>
      </c>
      <c r="H157" s="9" t="inlineStr"/>
      <c r="I157" s="12" t="inlineStr"/>
    </row>
    <row r="158">
      <c r="A158" s="13" t="n"/>
      <c r="B158" s="13" t="inlineStr">
        <is>
          <t>15</t>
        </is>
      </c>
      <c r="C158" s="14" t="inlineStr">
        <is>
          <t>TOTAL SELL</t>
        </is>
      </c>
      <c r="D158" s="15" t="n">
        <v>7138.25</v>
      </c>
      <c r="E158" s="15" t="n">
        <v>5653.51</v>
      </c>
      <c r="F158" s="15" t="n">
        <v>1484.74</v>
      </c>
      <c r="G158" s="13" t="inlineStr">
        <is>
          <t>+26%</t>
        </is>
      </c>
      <c r="H158" s="16" t="inlineStr">
        <is>
          <t>FAIL</t>
        </is>
      </c>
      <c r="I158" s="13" t="inlineStr"/>
    </row>
    <row r="160">
      <c r="A160" s="7" t="inlineStr">
        <is>
          <t>Fatt Boyy Knife &amp; Tool - Folding Knife Pizza Box - SPOT RW-260721-102108 - iQuote #223785 - qty 500 - iQuote OptDesc: KLA/Kraft</t>
        </is>
      </c>
    </row>
    <row r="161">
      <c r="A161" s="8" t="inlineStr">
        <is>
          <t xml:space="preserve">    Resolution: only one option available</t>
        </is>
      </c>
    </row>
    <row r="162">
      <c r="A162" s="9" t="n"/>
      <c r="B162" s="9" t="inlineStr">
        <is>
          <t>500</t>
        </is>
      </c>
      <c r="C162" s="10" t="inlineStr">
        <is>
          <t>Material</t>
        </is>
      </c>
      <c r="D162" s="11" t="n">
        <v>84.91</v>
      </c>
      <c r="E162" s="11" t="n">
        <v>114.002</v>
      </c>
      <c r="F162" s="11" t="n">
        <v>-29.09</v>
      </c>
      <c r="G162" s="9" t="inlineStr">
        <is>
          <t>-26%</t>
        </is>
      </c>
      <c r="H162" s="9" t="inlineStr"/>
      <c r="I162" s="12" t="inlineStr"/>
    </row>
    <row r="163">
      <c r="A163" s="9" t="n"/>
      <c r="B163" s="9" t="n"/>
      <c r="C163" s="10" t="inlineStr">
        <is>
          <t>Print</t>
        </is>
      </c>
      <c r="D163" s="11" t="n">
        <v>161.33</v>
      </c>
      <c r="E163" s="11" t="n">
        <v>122.8467</v>
      </c>
      <c r="F163" s="11" t="n">
        <v>38.48</v>
      </c>
      <c r="G163" s="9" t="inlineStr">
        <is>
          <t>+31%</t>
        </is>
      </c>
      <c r="H163" s="9" t="inlineStr"/>
      <c r="I163" s="12" t="inlineStr"/>
    </row>
    <row r="164">
      <c r="A164" s="9" t="n"/>
      <c r="B164" s="9" t="n"/>
      <c r="C164" s="10" t="inlineStr">
        <is>
          <t>Cutting</t>
        </is>
      </c>
      <c r="D164" s="11" t="n">
        <v>273.65</v>
      </c>
      <c r="E164" s="11" t="n">
        <v>298.0417</v>
      </c>
      <c r="F164" s="11" t="n">
        <v>-24.39</v>
      </c>
      <c r="G164" s="9" t="inlineStr">
        <is>
          <t>-8%</t>
        </is>
      </c>
      <c r="H164" s="9" t="inlineStr"/>
      <c r="I164" s="12" t="inlineStr"/>
    </row>
    <row r="165">
      <c r="A165" s="9" t="n"/>
      <c r="B165" s="9" t="n"/>
      <c r="C165" s="10" t="inlineStr">
        <is>
          <t>Handwork</t>
        </is>
      </c>
      <c r="D165" s="11" t="n">
        <v>11.9</v>
      </c>
      <c r="E165" s="11" t="n">
        <v>0</v>
      </c>
      <c r="F165" s="11" t="n">
        <v>11.9</v>
      </c>
      <c r="G165" s="9" t="inlineStr">
        <is>
          <t>n/a</t>
        </is>
      </c>
      <c r="H165" s="9" t="inlineStr"/>
      <c r="I165" s="12" t="inlineStr"/>
    </row>
    <row r="166">
      <c r="A166" s="13" t="n"/>
      <c r="B166" s="13" t="inlineStr">
        <is>
          <t>500</t>
        </is>
      </c>
      <c r="C166" s="14" t="inlineStr">
        <is>
          <t>TOTAL SELL</t>
        </is>
      </c>
      <c r="D166" s="15" t="n">
        <v>1183.59</v>
      </c>
      <c r="E166" s="15" t="n">
        <v>785.7</v>
      </c>
      <c r="F166" s="15" t="n">
        <v>397.89</v>
      </c>
      <c r="G166" s="13" t="inlineStr">
        <is>
          <t>+51%</t>
        </is>
      </c>
      <c r="H166" s="16" t="inlineStr">
        <is>
          <t>FAIL</t>
        </is>
      </c>
      <c r="I166" s="13" t="inlineStr"/>
    </row>
    <row r="168">
      <c r="A168" s="7" t="inlineStr">
        <is>
          <t>ICM Distributing Company Header - SPOT RW-260727-144121 - iQuote #223575 - qty 500 - BECAME A JOB - iQuote OptDesc: Option 1</t>
        </is>
      </c>
    </row>
    <row r="169">
      <c r="A169" s="8" t="inlineStr">
        <is>
          <t xml:space="preserve">    Resolution: only one option available</t>
        </is>
      </c>
    </row>
    <row r="170">
      <c r="A170" s="9" t="n"/>
      <c r="B170" s="9" t="inlineStr">
        <is>
          <t>500</t>
        </is>
      </c>
      <c r="C170" s="10" t="inlineStr">
        <is>
          <t>Material</t>
        </is>
      </c>
      <c r="D170" s="11" t="n">
        <v>161.77</v>
      </c>
      <c r="E170" s="11" t="n">
        <v>159.988</v>
      </c>
      <c r="F170" s="11" t="n">
        <v>1.78</v>
      </c>
      <c r="G170" s="9" t="inlineStr">
        <is>
          <t>+1%</t>
        </is>
      </c>
      <c r="H170" s="9" t="inlineStr"/>
      <c r="I170" s="12" t="inlineStr"/>
    </row>
    <row r="171">
      <c r="A171" s="9" t="n"/>
      <c r="B171" s="9" t="n"/>
      <c r="C171" s="10" t="inlineStr">
        <is>
          <t>Print</t>
        </is>
      </c>
      <c r="D171" s="11" t="n">
        <v>206.23</v>
      </c>
      <c r="E171" s="11" t="n">
        <v>127.611</v>
      </c>
      <c r="F171" s="11" t="n">
        <v>78.62</v>
      </c>
      <c r="G171" s="9" t="inlineStr">
        <is>
          <t>+62%</t>
        </is>
      </c>
      <c r="H171" s="9" t="inlineStr"/>
      <c r="I171" s="12" t="inlineStr"/>
    </row>
    <row r="172">
      <c r="A172" s="9" t="n"/>
      <c r="B172" s="9" t="n"/>
      <c r="C172" s="10" t="inlineStr">
        <is>
          <t>Cutting</t>
        </is>
      </c>
      <c r="D172" s="11" t="n">
        <v>189.2</v>
      </c>
      <c r="E172" s="11" t="n">
        <v>200.0185</v>
      </c>
      <c r="F172" s="11" t="n">
        <v>-10.82</v>
      </c>
      <c r="G172" s="9" t="inlineStr">
        <is>
          <t>-5%</t>
        </is>
      </c>
      <c r="H172" s="9" t="inlineStr"/>
      <c r="I172" s="12" t="inlineStr"/>
    </row>
    <row r="173">
      <c r="A173" s="9" t="n"/>
      <c r="B173" s="9" t="n"/>
      <c r="C173" s="10" t="inlineStr">
        <is>
          <t>Handwork</t>
        </is>
      </c>
      <c r="D173" s="11" t="n">
        <v>0</v>
      </c>
      <c r="E173" s="11" t="n">
        <v>0</v>
      </c>
      <c r="F173" s="11" t="n">
        <v>0</v>
      </c>
      <c r="G173" s="9" t="inlineStr">
        <is>
          <t>n/a</t>
        </is>
      </c>
      <c r="H173" s="9" t="inlineStr"/>
      <c r="I173" s="12" t="inlineStr"/>
    </row>
    <row r="174">
      <c r="A174" s="13" t="n"/>
      <c r="B174" s="13" t="inlineStr">
        <is>
          <t>500</t>
        </is>
      </c>
      <c r="C174" s="14" t="inlineStr">
        <is>
          <t>TOTAL SELL</t>
        </is>
      </c>
      <c r="D174" s="15" t="n">
        <v>1259.41</v>
      </c>
      <c r="E174" s="15" t="n">
        <v>985.09</v>
      </c>
      <c r="F174" s="15" t="n">
        <v>274.32</v>
      </c>
      <c r="G174" s="13" t="inlineStr">
        <is>
          <t>+28%</t>
        </is>
      </c>
      <c r="H174" s="16" t="inlineStr">
        <is>
          <t>FAIL</t>
        </is>
      </c>
      <c r="I174" s="13" t="inlineStr"/>
    </row>
    <row r="176">
      <c r="A176" s="7" t="inlineStr">
        <is>
          <t>J63068 - Moen Lowes Prepacks (Project 7655) - SPOT RW-260720-082503 - iQuote #223583 - qty 918 - BECAME A JOB - iQuote OptDesc: Option 1</t>
        </is>
      </c>
    </row>
    <row r="177">
      <c r="A177" s="8" t="inlineStr">
        <is>
          <t xml:space="preserve">    Resolution: only one option available - matched iQuote qty 919</t>
        </is>
      </c>
    </row>
    <row r="178">
      <c r="A178" s="9" t="n"/>
      <c r="B178" s="9" t="inlineStr">
        <is>
          <t>918</t>
        </is>
      </c>
      <c r="C178" s="10" t="inlineStr">
        <is>
          <t>Material</t>
        </is>
      </c>
      <c r="D178" s="11" t="n">
        <v>597.22</v>
      </c>
      <c r="E178" s="11" t="n">
        <v>884.3949</v>
      </c>
      <c r="F178" s="11" t="n">
        <v>-287.17</v>
      </c>
      <c r="G178" s="9" t="inlineStr">
        <is>
          <t>-32%</t>
        </is>
      </c>
      <c r="H178" s="9" t="inlineStr"/>
      <c r="I178" s="12" t="inlineStr"/>
    </row>
    <row r="179">
      <c r="A179" s="9" t="n"/>
      <c r="B179" s="9" t="n"/>
      <c r="C179" s="10" t="inlineStr">
        <is>
          <t>Print</t>
        </is>
      </c>
      <c r="D179" s="11" t="n">
        <v>959.1799999999999</v>
      </c>
      <c r="E179" s="11" t="n">
        <v>1636.7691</v>
      </c>
      <c r="F179" s="11" t="n">
        <v>-677.59</v>
      </c>
      <c r="G179" s="9" t="inlineStr">
        <is>
          <t>-41%</t>
        </is>
      </c>
      <c r="H179" s="9" t="inlineStr"/>
      <c r="I179" s="12" t="inlineStr"/>
    </row>
    <row r="180">
      <c r="A180" s="9" t="n"/>
      <c r="B180" s="9" t="n"/>
      <c r="C180" s="10" t="inlineStr">
        <is>
          <t>Cutting</t>
        </is>
      </c>
      <c r="D180" s="11" t="n">
        <v>487.82</v>
      </c>
      <c r="E180" s="11" t="n">
        <v>342.9511</v>
      </c>
      <c r="F180" s="11" t="n">
        <v>144.87</v>
      </c>
      <c r="G180" s="9" t="inlineStr">
        <is>
          <t>+42%</t>
        </is>
      </c>
      <c r="H180" s="9" t="inlineStr"/>
      <c r="I180" s="12" t="inlineStr"/>
    </row>
    <row r="181">
      <c r="A181" s="9" t="n"/>
      <c r="B181" s="9" t="n"/>
      <c r="C181" s="10" t="inlineStr">
        <is>
          <t>Handwork</t>
        </is>
      </c>
      <c r="D181" s="11" t="n">
        <v>49.3</v>
      </c>
      <c r="E181" s="11" t="n">
        <v>553.7822</v>
      </c>
      <c r="F181" s="11" t="n">
        <v>-504.48</v>
      </c>
      <c r="G181" s="9" t="inlineStr">
        <is>
          <t>-91%</t>
        </is>
      </c>
      <c r="H181" s="9" t="inlineStr"/>
      <c r="I181" s="12" t="inlineStr"/>
    </row>
    <row r="182">
      <c r="A182" s="13" t="n"/>
      <c r="B182" s="13" t="inlineStr">
        <is>
          <t>918</t>
        </is>
      </c>
      <c r="C182" s="14" t="inlineStr">
        <is>
          <t>TOTAL SELL</t>
        </is>
      </c>
      <c r="D182" s="15" t="n">
        <v>3328.7</v>
      </c>
      <c r="E182" s="15" t="n">
        <v>6590.63</v>
      </c>
      <c r="F182" s="15" t="n">
        <v>-3261.93</v>
      </c>
      <c r="G182" s="13" t="inlineStr">
        <is>
          <t>-50%</t>
        </is>
      </c>
      <c r="H182" s="16" t="inlineStr">
        <is>
          <t>FAIL</t>
        </is>
      </c>
      <c r="I182" s="13" t="inlineStr"/>
    </row>
    <row r="184">
      <c r="A184" s="7" t="inlineStr">
        <is>
          <t>J63068 - Moen Lowes Prepacks (Project 7655) - SPOT RW-260720-082503 - iQuote #223583 - qty 1750 - BECAME A JOB - iQuote OptDesc: Option 1</t>
        </is>
      </c>
    </row>
    <row r="185">
      <c r="A185" s="8" t="inlineStr">
        <is>
          <t xml:space="preserve">    Resolution: only one option available - matched iQuote qty 1751</t>
        </is>
      </c>
    </row>
    <row r="186">
      <c r="A186" s="9" t="n"/>
      <c r="B186" s="9" t="inlineStr">
        <is>
          <t>1750</t>
        </is>
      </c>
      <c r="C186" s="10" t="inlineStr">
        <is>
          <t>Material</t>
        </is>
      </c>
      <c r="D186" s="11" t="n">
        <v>1084.17</v>
      </c>
      <c r="E186" s="11" t="n">
        <v>1640.9254</v>
      </c>
      <c r="F186" s="11" t="n">
        <v>-556.76</v>
      </c>
      <c r="G186" s="9" t="inlineStr">
        <is>
          <t>-34%</t>
        </is>
      </c>
      <c r="H186" s="9" t="inlineStr"/>
      <c r="I186" s="12" t="inlineStr"/>
    </row>
    <row r="187">
      <c r="A187" s="9" t="n"/>
      <c r="B187" s="9" t="n"/>
      <c r="C187" s="10" t="inlineStr">
        <is>
          <t>Print</t>
        </is>
      </c>
      <c r="D187" s="11" t="n">
        <v>1741.29</v>
      </c>
      <c r="E187" s="11" t="n">
        <v>2964.6376</v>
      </c>
      <c r="F187" s="11" t="n">
        <v>-1223.35</v>
      </c>
      <c r="G187" s="9" t="inlineStr">
        <is>
          <t>-41%</t>
        </is>
      </c>
      <c r="H187" s="9" t="inlineStr"/>
      <c r="I187" s="12" t="inlineStr"/>
    </row>
    <row r="188">
      <c r="A188" s="9" t="n"/>
      <c r="B188" s="9" t="n"/>
      <c r="C188" s="10" t="inlineStr">
        <is>
          <t>Cutting</t>
        </is>
      </c>
      <c r="D188" s="11" t="n">
        <v>883.9400000000001</v>
      </c>
      <c r="E188" s="11" t="n">
        <v>468.64</v>
      </c>
      <c r="F188" s="11" t="n">
        <v>415.3</v>
      </c>
      <c r="G188" s="9" t="inlineStr">
        <is>
          <t>+89%</t>
        </is>
      </c>
      <c r="H188" s="9" t="inlineStr"/>
      <c r="I188" s="12" t="inlineStr"/>
    </row>
    <row r="189">
      <c r="A189" s="9" t="n"/>
      <c r="B189" s="9" t="n"/>
      <c r="C189" s="10" t="inlineStr">
        <is>
          <t>Handwork</t>
        </is>
      </c>
      <c r="D189" s="11" t="n">
        <v>93.5</v>
      </c>
      <c r="E189" s="11" t="n">
        <v>968.9391000000001</v>
      </c>
      <c r="F189" s="11" t="n">
        <v>-875.4400000000001</v>
      </c>
      <c r="G189" s="9" t="inlineStr">
        <is>
          <t>-90%</t>
        </is>
      </c>
      <c r="H189" s="9" t="inlineStr"/>
      <c r="I189" s="12" t="inlineStr"/>
    </row>
    <row r="190">
      <c r="A190" s="13" t="n"/>
      <c r="B190" s="13" t="inlineStr">
        <is>
          <t>1750</t>
        </is>
      </c>
      <c r="C190" s="14" t="inlineStr">
        <is>
          <t>TOTAL SELL</t>
        </is>
      </c>
      <c r="D190" s="15" t="n">
        <v>5459.44</v>
      </c>
      <c r="E190" s="15" t="n">
        <v>9763.91</v>
      </c>
      <c r="F190" s="15" t="n">
        <v>-4304.47</v>
      </c>
      <c r="G190" s="13" t="inlineStr">
        <is>
          <t>-44%</t>
        </is>
      </c>
      <c r="H190" s="16" t="inlineStr">
        <is>
          <t>FAIL</t>
        </is>
      </c>
      <c r="I190" s="13" t="inlineStr"/>
    </row>
    <row r="192">
      <c r="A192" s="7" t="inlineStr">
        <is>
          <t>J63240 - Sam's Club Filtration Pallet Display - SPOT RW-260731-115427 - iQuote #223860 - qty 20, 56, 110, 272 - iQuote OptDesc: Die Cut 2510223768</t>
        </is>
      </c>
    </row>
    <row r="193">
      <c r="A193" s="8" t="inlineStr">
        <is>
          <t xml:space="preserve">    Resolution: override: forced OptDesc 'Die Cut 2510223768'</t>
        </is>
      </c>
    </row>
    <row r="194">
      <c r="A194" s="9" t="n"/>
      <c r="B194" s="9" t="inlineStr">
        <is>
          <t>20, 56, 110, 272</t>
        </is>
      </c>
      <c r="C194" s="10" t="inlineStr">
        <is>
          <t>Material</t>
        </is>
      </c>
      <c r="D194" s="11" t="n">
        <v>1853.59</v>
      </c>
      <c r="E194" s="11" t="n">
        <v>1820.978</v>
      </c>
      <c r="F194" s="11" t="n">
        <v>32.61</v>
      </c>
      <c r="G194" s="9" t="inlineStr">
        <is>
          <t>+2%</t>
        </is>
      </c>
      <c r="H194" s="9" t="inlineStr"/>
      <c r="I194" s="12" t="inlineStr"/>
    </row>
    <row r="195">
      <c r="A195" s="9" t="n"/>
      <c r="B195" s="9" t="n"/>
      <c r="C195" s="10" t="inlineStr">
        <is>
          <t>Print</t>
        </is>
      </c>
      <c r="D195" s="11" t="n">
        <v>2166.82</v>
      </c>
      <c r="E195" s="11" t="n">
        <v>1314.966</v>
      </c>
      <c r="F195" s="11" t="n">
        <v>851.85</v>
      </c>
      <c r="G195" s="9" t="inlineStr">
        <is>
          <t>+65%</t>
        </is>
      </c>
      <c r="H195" s="9" t="inlineStr"/>
      <c r="I195" s="12" t="inlineStr"/>
    </row>
    <row r="196">
      <c r="A196" s="9" t="n"/>
      <c r="B196" s="9" t="n"/>
      <c r="C196" s="10" t="inlineStr">
        <is>
          <t>Cutting</t>
        </is>
      </c>
      <c r="D196" s="11" t="n">
        <v>1165.66</v>
      </c>
      <c r="E196" s="11" t="n">
        <v>1415.214</v>
      </c>
      <c r="F196" s="11" t="n">
        <v>-249.55</v>
      </c>
      <c r="G196" s="9" t="inlineStr">
        <is>
          <t>-18%</t>
        </is>
      </c>
      <c r="H196" s="9" t="inlineStr"/>
      <c r="I196" s="12" t="inlineStr"/>
    </row>
    <row r="197">
      <c r="A197" s="9" t="n"/>
      <c r="B197" s="9" t="n"/>
      <c r="C197" s="10" t="inlineStr">
        <is>
          <t>Handwork</t>
        </is>
      </c>
      <c r="D197" s="11" t="n">
        <v>110</v>
      </c>
      <c r="E197" s="11" t="n">
        <v>123.0721</v>
      </c>
      <c r="F197" s="11" t="n">
        <v>-13.07</v>
      </c>
      <c r="G197" s="9" t="inlineStr">
        <is>
          <t>-11%</t>
        </is>
      </c>
      <c r="H197" s="9" t="inlineStr"/>
      <c r="I197" s="12" t="inlineStr"/>
    </row>
    <row r="198">
      <c r="A198" s="13" t="n"/>
      <c r="B198" s="13" t="inlineStr">
        <is>
          <t>20, 56, 110, 272</t>
        </is>
      </c>
      <c r="C198" s="14" t="inlineStr">
        <is>
          <t>TOTAL SELL</t>
        </is>
      </c>
      <c r="D198" s="15" t="n">
        <v>9304.130000000001</v>
      </c>
      <c r="E198" s="15" t="n">
        <v>8571.190000000001</v>
      </c>
      <c r="F198" s="15" t="n">
        <v>732.9400000000001</v>
      </c>
      <c r="G198" s="13" t="inlineStr">
        <is>
          <t>+9%</t>
        </is>
      </c>
      <c r="H198" s="17" t="inlineStr">
        <is>
          <t>PASS</t>
        </is>
      </c>
      <c r="I198" s="13" t="inlineStr"/>
    </row>
    <row r="200">
      <c r="A200" s="7" t="inlineStr">
        <is>
          <t>Kent Displays Mailer &amp; Insert - SPOT RW-260706-094426 - iQuote #223488 - qty 300 - iQuote OptDesc: ALL 6 options</t>
        </is>
      </c>
    </row>
    <row r="201">
      <c r="A201" s="8" t="inlineStr">
        <is>
          <t xml:space="preserve">    Resolution: variants-style iQuote: summed all 6 single-component options</t>
        </is>
      </c>
    </row>
    <row r="202">
      <c r="A202" s="9" t="n"/>
      <c r="B202" s="9" t="inlineStr">
        <is>
          <t>300</t>
        </is>
      </c>
      <c r="C202" s="10" t="inlineStr">
        <is>
          <t>Material</t>
        </is>
      </c>
      <c r="D202" s="11" t="n">
        <v>1662.36</v>
      </c>
      <c r="E202" s="11" t="n">
        <v>1618.0156</v>
      </c>
      <c r="F202" s="11" t="n">
        <v>44.34</v>
      </c>
      <c r="G202" s="9" t="inlineStr">
        <is>
          <t>+3%</t>
        </is>
      </c>
      <c r="H202" s="9" t="inlineStr"/>
      <c r="I202" s="12" t="inlineStr"/>
    </row>
    <row r="203">
      <c r="A203" s="9" t="n"/>
      <c r="B203" s="9" t="n"/>
      <c r="C203" s="10" t="inlineStr">
        <is>
          <t>Print</t>
        </is>
      </c>
      <c r="D203" s="11" t="n">
        <v>1628.34</v>
      </c>
      <c r="E203" s="11" t="n">
        <v>1482.5676</v>
      </c>
      <c r="F203" s="11" t="n">
        <v>145.77</v>
      </c>
      <c r="G203" s="9" t="inlineStr">
        <is>
          <t>+10%</t>
        </is>
      </c>
      <c r="H203" s="9" t="inlineStr"/>
      <c r="I203" s="12" t="inlineStr"/>
    </row>
    <row r="204">
      <c r="A204" s="9" t="n"/>
      <c r="B204" s="9" t="n"/>
      <c r="C204" s="10" t="inlineStr">
        <is>
          <t>Cutting</t>
        </is>
      </c>
      <c r="D204" s="11" t="n">
        <v>2476.44</v>
      </c>
      <c r="E204" s="11" t="n">
        <v>2466.3708</v>
      </c>
      <c r="F204" s="11" t="n">
        <v>10.07</v>
      </c>
      <c r="G204" s="9" t="inlineStr">
        <is>
          <t>+0%</t>
        </is>
      </c>
      <c r="H204" s="9" t="inlineStr"/>
      <c r="I204" s="12" t="inlineStr"/>
    </row>
    <row r="205">
      <c r="A205" s="9" t="n"/>
      <c r="B205" s="9" t="n"/>
      <c r="C205" s="10" t="inlineStr">
        <is>
          <t>Handwork</t>
        </is>
      </c>
      <c r="D205" s="11" t="n">
        <v>0</v>
      </c>
      <c r="E205" s="11" t="n">
        <v>225.8076</v>
      </c>
      <c r="F205" s="11" t="n">
        <v>-225.81</v>
      </c>
      <c r="G205" s="9" t="inlineStr">
        <is>
          <t>-100%</t>
        </is>
      </c>
      <c r="H205" s="9" t="inlineStr"/>
      <c r="I205" s="12" t="inlineStr"/>
    </row>
    <row r="206">
      <c r="A206" s="13" t="n"/>
      <c r="B206" s="13" t="inlineStr">
        <is>
          <t>300</t>
        </is>
      </c>
      <c r="C206" s="14" t="inlineStr">
        <is>
          <t>TOTAL SELL</t>
        </is>
      </c>
      <c r="D206" s="15" t="n">
        <v>9354.25</v>
      </c>
      <c r="E206" s="15" t="n">
        <v>11498.62</v>
      </c>
      <c r="F206" s="15" t="n">
        <v>-2144.37</v>
      </c>
      <c r="G206" s="13" t="inlineStr">
        <is>
          <t>-19%</t>
        </is>
      </c>
      <c r="H206" s="18" t="inlineStr">
        <is>
          <t>REVIEW</t>
        </is>
      </c>
      <c r="I206" s="13" t="inlineStr"/>
    </row>
    <row r="208">
      <c r="A208" s="7" t="inlineStr">
        <is>
          <t>L'Oreal C15 LP COS ZUS01644 Inserts - SPOT RW-260730-115948 - iQuote #223880 - qty 22000 - BECAME A JOB - iQuote OptDesc: CAD cut</t>
        </is>
      </c>
    </row>
    <row r="209">
      <c r="A209" s="8" t="inlineStr">
        <is>
          <t xml:space="preserve">    Resolution: only one option available</t>
        </is>
      </c>
    </row>
    <row r="210">
      <c r="A210" s="9" t="n"/>
      <c r="B210" s="9" t="inlineStr">
        <is>
          <t>22000</t>
        </is>
      </c>
      <c r="C210" s="10" t="inlineStr">
        <is>
          <t>Material</t>
        </is>
      </c>
      <c r="D210" s="11" t="n">
        <v>300.33</v>
      </c>
      <c r="E210" s="11" t="n">
        <v>430.698</v>
      </c>
      <c r="F210" s="11" t="n">
        <v>-130.37</v>
      </c>
      <c r="G210" s="9" t="inlineStr">
        <is>
          <t>-30%</t>
        </is>
      </c>
      <c r="H210" s="9" t="inlineStr"/>
      <c r="I210" s="12" t="inlineStr"/>
    </row>
    <row r="211">
      <c r="A211" s="9" t="n"/>
      <c r="B211" s="9" t="n"/>
      <c r="C211" s="10" t="inlineStr">
        <is>
          <t>Print</t>
        </is>
      </c>
      <c r="D211" s="11" t="n">
        <v>0</v>
      </c>
      <c r="E211" s="11" t="n">
        <v>0</v>
      </c>
      <c r="F211" s="11" t="n">
        <v>0</v>
      </c>
      <c r="G211" s="9" t="inlineStr">
        <is>
          <t>n/a</t>
        </is>
      </c>
      <c r="H211" s="9" t="inlineStr"/>
      <c r="I211" s="12" t="inlineStr"/>
    </row>
    <row r="212">
      <c r="A212" s="9" t="n"/>
      <c r="B212" s="9" t="n"/>
      <c r="C212" s="10" t="inlineStr">
        <is>
          <t>Cutting</t>
        </is>
      </c>
      <c r="D212" s="11" t="n">
        <v>1760.55</v>
      </c>
      <c r="E212" s="11" t="n">
        <v>1035.9583</v>
      </c>
      <c r="F212" s="11" t="n">
        <v>724.59</v>
      </c>
      <c r="G212" s="9" t="inlineStr">
        <is>
          <t>+70%</t>
        </is>
      </c>
      <c r="H212" s="9" t="inlineStr"/>
      <c r="I212" s="12" t="inlineStr"/>
    </row>
    <row r="213">
      <c r="A213" s="9" t="n"/>
      <c r="B213" s="9" t="n"/>
      <c r="C213" s="10" t="inlineStr">
        <is>
          <t>Handwork</t>
        </is>
      </c>
      <c r="D213" s="11" t="n">
        <v>0</v>
      </c>
      <c r="E213" s="11" t="n">
        <v>0</v>
      </c>
      <c r="F213" s="11" t="n">
        <v>0</v>
      </c>
      <c r="G213" s="9" t="inlineStr">
        <is>
          <t>n/a</t>
        </is>
      </c>
      <c r="H213" s="9" t="inlineStr"/>
      <c r="I213" s="12" t="inlineStr"/>
    </row>
    <row r="214">
      <c r="A214" s="13" t="n"/>
      <c r="B214" s="13" t="inlineStr">
        <is>
          <t>22000</t>
        </is>
      </c>
      <c r="C214" s="14" t="inlineStr">
        <is>
          <t>TOTAL SELL</t>
        </is>
      </c>
      <c r="D214" s="15" t="n">
        <v>3416.08</v>
      </c>
      <c r="E214" s="15" t="n">
        <v>2279.73</v>
      </c>
      <c r="F214" s="15" t="n">
        <v>1136.35</v>
      </c>
      <c r="G214" s="13" t="inlineStr">
        <is>
          <t>+50%</t>
        </is>
      </c>
      <c r="H214" s="16" t="inlineStr">
        <is>
          <t>FAIL</t>
        </is>
      </c>
      <c r="I214" s="13" t="inlineStr"/>
    </row>
    <row r="216">
      <c r="A216" s="7" t="inlineStr">
        <is>
          <t>MPC - Meijer Iams - SPOT RW-260727-105300 - iQuote #223376 - qty 75, 150 - BECAME A JOB - iQuote OptDesc: Option 1</t>
        </is>
      </c>
    </row>
    <row r="217">
      <c r="A217" s="8" t="inlineStr">
        <is>
          <t xml:space="preserve">    Resolution: only one option available</t>
        </is>
      </c>
    </row>
    <row r="218">
      <c r="A218" s="9" t="n"/>
      <c r="B218" s="9" t="inlineStr">
        <is>
          <t>75, 150</t>
        </is>
      </c>
      <c r="C218" s="10" t="inlineStr">
        <is>
          <t>Material</t>
        </is>
      </c>
      <c r="D218" s="11" t="n">
        <v>764.12</v>
      </c>
      <c r="E218" s="11" t="n">
        <v>763.9170999999999</v>
      </c>
      <c r="F218" s="11" t="n">
        <v>0.2</v>
      </c>
      <c r="G218" s="9" t="inlineStr">
        <is>
          <t>+0%</t>
        </is>
      </c>
      <c r="H218" s="9" t="inlineStr"/>
      <c r="I218" s="12" t="inlineStr"/>
    </row>
    <row r="219">
      <c r="A219" s="9" t="n"/>
      <c r="B219" s="9" t="n"/>
      <c r="C219" s="10" t="inlineStr">
        <is>
          <t>Print</t>
        </is>
      </c>
      <c r="D219" s="11" t="n">
        <v>895.34</v>
      </c>
      <c r="E219" s="11" t="n">
        <v>699.2486</v>
      </c>
      <c r="F219" s="11" t="n">
        <v>196.09</v>
      </c>
      <c r="G219" s="9" t="inlineStr">
        <is>
          <t>+28%</t>
        </is>
      </c>
      <c r="H219" s="9" t="inlineStr"/>
      <c r="I219" s="12" t="inlineStr"/>
    </row>
    <row r="220">
      <c r="A220" s="9" t="n"/>
      <c r="B220" s="9" t="n"/>
      <c r="C220" s="10" t="inlineStr">
        <is>
          <t>Cutting</t>
        </is>
      </c>
      <c r="D220" s="11" t="n">
        <v>374.42</v>
      </c>
      <c r="E220" s="11" t="n">
        <v>400.3438</v>
      </c>
      <c r="F220" s="11" t="n">
        <v>-25.92</v>
      </c>
      <c r="G220" s="9" t="inlineStr">
        <is>
          <t>-6%</t>
        </is>
      </c>
      <c r="H220" s="9" t="inlineStr"/>
      <c r="I220" s="12" t="inlineStr"/>
    </row>
    <row r="221">
      <c r="A221" s="9" t="n"/>
      <c r="B221" s="9" t="n"/>
      <c r="C221" s="10" t="inlineStr">
        <is>
          <t>Handwork</t>
        </is>
      </c>
      <c r="D221" s="11" t="n">
        <v>0</v>
      </c>
      <c r="E221" s="11" t="n">
        <v>0</v>
      </c>
      <c r="F221" s="11" t="n">
        <v>0</v>
      </c>
      <c r="G221" s="9" t="inlineStr">
        <is>
          <t>n/a</t>
        </is>
      </c>
      <c r="H221" s="9" t="inlineStr"/>
      <c r="I221" s="12" t="inlineStr"/>
    </row>
    <row r="222">
      <c r="A222" s="13" t="n"/>
      <c r="B222" s="13" t="inlineStr">
        <is>
          <t>75, 150</t>
        </is>
      </c>
      <c r="C222" s="14" t="inlineStr">
        <is>
          <t>TOTAL SELL</t>
        </is>
      </c>
      <c r="D222" s="15" t="n">
        <v>3328.39</v>
      </c>
      <c r="E222" s="15" t="n">
        <v>3134.12</v>
      </c>
      <c r="F222" s="15" t="n">
        <v>194.27</v>
      </c>
      <c r="G222" s="13" t="inlineStr">
        <is>
          <t>+6%</t>
        </is>
      </c>
      <c r="H222" s="17" t="inlineStr">
        <is>
          <t>PASS</t>
        </is>
      </c>
      <c r="I222" s="13" t="inlineStr"/>
    </row>
    <row r="224">
      <c r="A224" s="7" t="inlineStr">
        <is>
          <t>Mala Girl 3 Pak PDQ - SPOT RW-260724-153643 - iQuote #223851 - qty 25 - iQuote OptDesc: Option 1</t>
        </is>
      </c>
    </row>
    <row r="225">
      <c r="A225" s="8" t="inlineStr">
        <is>
          <t xml:space="preserve">    Resolution: only one option available</t>
        </is>
      </c>
    </row>
    <row r="226">
      <c r="A226" s="9" t="n"/>
      <c r="B226" s="9" t="inlineStr">
        <is>
          <t>25</t>
        </is>
      </c>
      <c r="C226" s="10" t="inlineStr">
        <is>
          <t>Material</t>
        </is>
      </c>
      <c r="D226" s="11" t="n">
        <v>182.08</v>
      </c>
      <c r="E226" s="11" t="n">
        <v>135.3655</v>
      </c>
      <c r="F226" s="11" t="n">
        <v>46.71</v>
      </c>
      <c r="G226" s="9" t="inlineStr">
        <is>
          <t>+34%</t>
        </is>
      </c>
      <c r="H226" s="9" t="inlineStr"/>
      <c r="I226" s="12" t="inlineStr"/>
    </row>
    <row r="227">
      <c r="A227" s="9" t="n"/>
      <c r="B227" s="9" t="n"/>
      <c r="C227" s="10" t="inlineStr">
        <is>
          <t>Print</t>
        </is>
      </c>
      <c r="D227" s="11" t="n">
        <v>224.17</v>
      </c>
      <c r="E227" s="11" t="n">
        <v>208.3438</v>
      </c>
      <c r="F227" s="11" t="n">
        <v>15.83</v>
      </c>
      <c r="G227" s="9" t="inlineStr">
        <is>
          <t>+8%</t>
        </is>
      </c>
      <c r="H227" s="9" t="inlineStr"/>
      <c r="I227" s="12" t="inlineStr"/>
    </row>
    <row r="228">
      <c r="A228" s="9" t="n"/>
      <c r="B228" s="9" t="n"/>
      <c r="C228" s="10" t="inlineStr">
        <is>
          <t>Cutting</t>
        </is>
      </c>
      <c r="D228" s="11" t="n">
        <v>198.2</v>
      </c>
      <c r="E228" s="11" t="n">
        <v>238.1841</v>
      </c>
      <c r="F228" s="11" t="n">
        <v>-39.98</v>
      </c>
      <c r="G228" s="9" t="inlineStr">
        <is>
          <t>-17%</t>
        </is>
      </c>
      <c r="H228" s="9" t="inlineStr"/>
      <c r="I228" s="12" t="inlineStr"/>
    </row>
    <row r="229">
      <c r="A229" s="9" t="n"/>
      <c r="B229" s="9" t="n"/>
      <c r="C229" s="10" t="inlineStr">
        <is>
          <t>Handwork</t>
        </is>
      </c>
      <c r="D229" s="11" t="n">
        <v>11.05</v>
      </c>
      <c r="E229" s="11" t="n">
        <v>0</v>
      </c>
      <c r="F229" s="11" t="n">
        <v>11.05</v>
      </c>
      <c r="G229" s="9" t="inlineStr">
        <is>
          <t>n/a</t>
        </is>
      </c>
      <c r="H229" s="9" t="inlineStr"/>
      <c r="I229" s="12" t="inlineStr"/>
    </row>
    <row r="230">
      <c r="A230" s="13" t="n"/>
      <c r="B230" s="13" t="inlineStr">
        <is>
          <t>25</t>
        </is>
      </c>
      <c r="C230" s="14" t="inlineStr">
        <is>
          <t>TOTAL SELL</t>
        </is>
      </c>
      <c r="D230" s="15" t="n">
        <v>1331.01</v>
      </c>
      <c r="E230" s="15" t="n">
        <v>1079.65</v>
      </c>
      <c r="F230" s="15" t="n">
        <v>251.36</v>
      </c>
      <c r="G230" s="13" t="inlineStr">
        <is>
          <t>+23%</t>
        </is>
      </c>
      <c r="H230" s="16" t="inlineStr">
        <is>
          <t>FAIL</t>
        </is>
      </c>
      <c r="I230" s="13" t="inlineStr"/>
    </row>
    <row r="232">
      <c r="A232" s="7" t="inlineStr">
        <is>
          <t>Natures Bounty Tray &amp; Graphic Block - J58302 - SPOT RW-260727-093930 - iQuote #223538 - qty 350 - BECAME A JOB - iQuote OptDesc: CAD Cut ALL</t>
        </is>
      </c>
    </row>
    <row r="233">
      <c r="A233" s="8" t="inlineStr">
        <is>
          <t xml:space="preserve">    Resolution: only one option available</t>
        </is>
      </c>
    </row>
    <row r="234">
      <c r="A234" s="9" t="n"/>
      <c r="B234" s="9" t="inlineStr">
        <is>
          <t>350</t>
        </is>
      </c>
      <c r="C234" s="10" t="inlineStr">
        <is>
          <t>Material</t>
        </is>
      </c>
      <c r="D234" s="11" t="n">
        <v>1132.63</v>
      </c>
      <c r="E234" s="11" t="n">
        <v>1064.2191</v>
      </c>
      <c r="F234" s="11" t="n">
        <v>68.41</v>
      </c>
      <c r="G234" s="9" t="inlineStr">
        <is>
          <t>+6%</t>
        </is>
      </c>
      <c r="H234" s="9" t="inlineStr"/>
      <c r="I234" s="12" t="inlineStr"/>
    </row>
    <row r="235">
      <c r="A235" s="9" t="n"/>
      <c r="B235" s="9" t="n"/>
      <c r="C235" s="10" t="inlineStr">
        <is>
          <t>Print</t>
        </is>
      </c>
      <c r="D235" s="11" t="n">
        <v>1467.98</v>
      </c>
      <c r="E235" s="11" t="n">
        <v>965.1752999999999</v>
      </c>
      <c r="F235" s="11" t="n">
        <v>502.8</v>
      </c>
      <c r="G235" s="9" t="inlineStr">
        <is>
          <t>+52%</t>
        </is>
      </c>
      <c r="H235" s="9" t="inlineStr"/>
      <c r="I235" s="12" t="inlineStr"/>
    </row>
    <row r="236">
      <c r="A236" s="9" t="n"/>
      <c r="B236" s="9" t="n"/>
      <c r="C236" s="10" t="inlineStr">
        <is>
          <t>Cutting</t>
        </is>
      </c>
      <c r="D236" s="11" t="n">
        <v>1165.47</v>
      </c>
      <c r="E236" s="11" t="n">
        <v>2153.6146</v>
      </c>
      <c r="F236" s="11" t="n">
        <v>-988.14</v>
      </c>
      <c r="G236" s="9" t="inlineStr">
        <is>
          <t>-46%</t>
        </is>
      </c>
      <c r="H236" s="9" t="inlineStr"/>
      <c r="I236" s="12" t="inlineStr"/>
    </row>
    <row r="237">
      <c r="A237" s="9" t="n"/>
      <c r="B237" s="9" t="n"/>
      <c r="C237" s="10" t="inlineStr">
        <is>
          <t>Handwork</t>
        </is>
      </c>
      <c r="D237" s="11" t="n">
        <v>74.8</v>
      </c>
      <c r="E237" s="11" t="n">
        <v>0</v>
      </c>
      <c r="F237" s="11" t="n">
        <v>74.8</v>
      </c>
      <c r="G237" s="9" t="inlineStr">
        <is>
          <t>n/a</t>
        </is>
      </c>
      <c r="H237" s="9" t="inlineStr"/>
      <c r="I237" s="12" t="inlineStr"/>
    </row>
    <row r="238">
      <c r="A238" s="13" t="n"/>
      <c r="B238" s="13" t="inlineStr">
        <is>
          <t>350</t>
        </is>
      </c>
      <c r="C238" s="14" t="inlineStr">
        <is>
          <t>TOTAL SELL</t>
        </is>
      </c>
      <c r="D238" s="15" t="n">
        <v>6388.33</v>
      </c>
      <c r="E238" s="15" t="n">
        <v>6766.74</v>
      </c>
      <c r="F238" s="15" t="n">
        <v>-378.41</v>
      </c>
      <c r="G238" s="13" t="inlineStr">
        <is>
          <t>-6%</t>
        </is>
      </c>
      <c r="H238" s="17" t="inlineStr">
        <is>
          <t>PASS</t>
        </is>
      </c>
      <c r="I238" s="13" t="inlineStr"/>
    </row>
    <row r="240">
      <c r="A240" s="7" t="inlineStr">
        <is>
          <t>New Piston Kit - SPOT RW-260721-135500 - iQuote #223597 - qty 250 - BECAME A JOB - iQuote OptDesc: Option 1</t>
        </is>
      </c>
    </row>
    <row r="241">
      <c r="A241" s="8" t="inlineStr">
        <is>
          <t xml:space="preserve">    Resolution: only one option available</t>
        </is>
      </c>
    </row>
    <row r="242">
      <c r="A242" s="9" t="n"/>
      <c r="B242" s="9" t="inlineStr">
        <is>
          <t>250</t>
        </is>
      </c>
      <c r="C242" s="10" t="inlineStr">
        <is>
          <t>Material</t>
        </is>
      </c>
      <c r="D242" s="11" t="n">
        <v>662.8200000000001</v>
      </c>
      <c r="E242" s="11" t="n">
        <v>619.8315</v>
      </c>
      <c r="F242" s="11" t="n">
        <v>42.99</v>
      </c>
      <c r="G242" s="9" t="inlineStr">
        <is>
          <t>+7%</t>
        </is>
      </c>
      <c r="H242" s="9" t="inlineStr"/>
      <c r="I242" s="12" t="inlineStr"/>
    </row>
    <row r="243">
      <c r="A243" s="9" t="n"/>
      <c r="B243" s="9" t="n"/>
      <c r="C243" s="10" t="inlineStr">
        <is>
          <t>Print</t>
        </is>
      </c>
      <c r="D243" s="11" t="n">
        <v>815.97</v>
      </c>
      <c r="E243" s="11" t="n">
        <v>384.1298</v>
      </c>
      <c r="F243" s="11" t="n">
        <v>431.84</v>
      </c>
      <c r="G243" s="9" t="inlineStr">
        <is>
          <t>+112%</t>
        </is>
      </c>
      <c r="H243" s="9" t="inlineStr"/>
      <c r="I243" s="12" t="inlineStr"/>
    </row>
    <row r="244">
      <c r="A244" s="9" t="n"/>
      <c r="B244" s="9" t="n"/>
      <c r="C244" s="10" t="inlineStr">
        <is>
          <t>Cutting</t>
        </is>
      </c>
      <c r="D244" s="11" t="n">
        <v>511.19</v>
      </c>
      <c r="E244" s="11" t="n">
        <v>540.0208</v>
      </c>
      <c r="F244" s="11" t="n">
        <v>-28.83</v>
      </c>
      <c r="G244" s="9" t="inlineStr">
        <is>
          <t>-5%</t>
        </is>
      </c>
      <c r="H244" s="9" t="inlineStr"/>
      <c r="I244" s="12" t="inlineStr"/>
    </row>
    <row r="245">
      <c r="A245" s="9" t="n"/>
      <c r="B245" s="9" t="n"/>
      <c r="C245" s="10" t="inlineStr">
        <is>
          <t>Handwork</t>
        </is>
      </c>
      <c r="D245" s="11" t="n">
        <v>71.40000000000001</v>
      </c>
      <c r="E245" s="11" t="n">
        <v>0</v>
      </c>
      <c r="F245" s="11" t="n">
        <v>71.40000000000001</v>
      </c>
      <c r="G245" s="9" t="inlineStr">
        <is>
          <t>n/a</t>
        </is>
      </c>
      <c r="H245" s="9" t="inlineStr"/>
      <c r="I245" s="12" t="inlineStr"/>
    </row>
    <row r="246">
      <c r="A246" s="13" t="n"/>
      <c r="B246" s="13" t="inlineStr">
        <is>
          <t>250</t>
        </is>
      </c>
      <c r="C246" s="14" t="inlineStr">
        <is>
          <t>TOTAL SELL</t>
        </is>
      </c>
      <c r="D246" s="15" t="n">
        <v>3176.43</v>
      </c>
      <c r="E246" s="15" t="n">
        <v>2749.42</v>
      </c>
      <c r="F246" s="15" t="n">
        <v>427.01</v>
      </c>
      <c r="G246" s="13" t="inlineStr">
        <is>
          <t>+16%</t>
        </is>
      </c>
      <c r="H246" s="18" t="inlineStr">
        <is>
          <t>REVIEW</t>
        </is>
      </c>
      <c r="I246" s="13" t="inlineStr"/>
    </row>
    <row r="248">
      <c r="A248" s="7" t="inlineStr">
        <is>
          <t>New Piston Kit - SPOT RW-260730-155412 - iQuote #223597 - qty 250 - BECAME A JOB - iQuote OptDesc: Option 1</t>
        </is>
      </c>
    </row>
    <row r="249">
      <c r="A249" s="8" t="inlineStr">
        <is>
          <t xml:space="preserve">    Resolution: only one option available</t>
        </is>
      </c>
    </row>
    <row r="250">
      <c r="A250" s="9" t="n"/>
      <c r="B250" s="9" t="inlineStr">
        <is>
          <t>250</t>
        </is>
      </c>
      <c r="C250" s="10" t="inlineStr">
        <is>
          <t>Material</t>
        </is>
      </c>
      <c r="D250" s="11" t="n">
        <v>662.8200000000001</v>
      </c>
      <c r="E250" s="11" t="n">
        <v>619.8315</v>
      </c>
      <c r="F250" s="11" t="n">
        <v>42.99</v>
      </c>
      <c r="G250" s="9" t="inlineStr">
        <is>
          <t>+7%</t>
        </is>
      </c>
      <c r="H250" s="9" t="inlineStr"/>
      <c r="I250" s="12" t="inlineStr"/>
    </row>
    <row r="251">
      <c r="A251" s="9" t="n"/>
      <c r="B251" s="9" t="n"/>
      <c r="C251" s="10" t="inlineStr">
        <is>
          <t>Print</t>
        </is>
      </c>
      <c r="D251" s="11" t="n">
        <v>815.97</v>
      </c>
      <c r="E251" s="11" t="n">
        <v>384.1298</v>
      </c>
      <c r="F251" s="11" t="n">
        <v>431.84</v>
      </c>
      <c r="G251" s="9" t="inlineStr">
        <is>
          <t>+112%</t>
        </is>
      </c>
      <c r="H251" s="9" t="inlineStr"/>
      <c r="I251" s="12" t="inlineStr"/>
    </row>
    <row r="252">
      <c r="A252" s="9" t="n"/>
      <c r="B252" s="9" t="n"/>
      <c r="C252" s="10" t="inlineStr">
        <is>
          <t>Cutting</t>
        </is>
      </c>
      <c r="D252" s="11" t="n">
        <v>511.19</v>
      </c>
      <c r="E252" s="11" t="n">
        <v>540.0208</v>
      </c>
      <c r="F252" s="11" t="n">
        <v>-28.83</v>
      </c>
      <c r="G252" s="9" t="inlineStr">
        <is>
          <t>-5%</t>
        </is>
      </c>
      <c r="H252" s="9" t="inlineStr"/>
      <c r="I252" s="12" t="inlineStr"/>
    </row>
    <row r="253">
      <c r="A253" s="9" t="n"/>
      <c r="B253" s="9" t="n"/>
      <c r="C253" s="10" t="inlineStr">
        <is>
          <t>Handwork</t>
        </is>
      </c>
      <c r="D253" s="11" t="n">
        <v>0</v>
      </c>
      <c r="E253" s="11" t="n">
        <v>0</v>
      </c>
      <c r="F253" s="11" t="n">
        <v>0</v>
      </c>
      <c r="G253" s="9" t="inlineStr">
        <is>
          <t>n/a</t>
        </is>
      </c>
      <c r="H253" s="9" t="inlineStr"/>
      <c r="I253" s="12" t="inlineStr"/>
    </row>
    <row r="254">
      <c r="A254" s="13" t="n"/>
      <c r="B254" s="13" t="inlineStr">
        <is>
          <t>250</t>
        </is>
      </c>
      <c r="C254" s="14" t="inlineStr">
        <is>
          <t>TOTAL SELL</t>
        </is>
      </c>
      <c r="D254" s="15" t="n">
        <v>3071.43</v>
      </c>
      <c r="E254" s="15" t="n">
        <v>2749.42</v>
      </c>
      <c r="F254" s="15" t="n">
        <v>322.01</v>
      </c>
      <c r="G254" s="13" t="inlineStr">
        <is>
          <t>+12%</t>
        </is>
      </c>
      <c r="H254" s="18" t="inlineStr">
        <is>
          <t>REVIEW</t>
        </is>
      </c>
      <c r="I254" s="13" t="inlineStr"/>
    </row>
    <row r="256">
      <c r="A256" s="7" t="inlineStr">
        <is>
          <t>PKG153007274 DLN29676 - SPOT RW-260629-132636 - iQuote #223389 - qty 1700 - iQuote OptDesc: Option 1</t>
        </is>
      </c>
    </row>
    <row r="257">
      <c r="A257" s="8" t="inlineStr">
        <is>
          <t xml:space="preserve">    Resolution: only one option available</t>
        </is>
      </c>
    </row>
    <row r="258">
      <c r="A258" s="9" t="n"/>
      <c r="B258" s="9" t="inlineStr">
        <is>
          <t>1700</t>
        </is>
      </c>
      <c r="C258" s="10" t="inlineStr">
        <is>
          <t>Material</t>
        </is>
      </c>
      <c r="D258" s="11" t="n">
        <v>486.23</v>
      </c>
      <c r="E258" s="11" t="n">
        <v>534.3362</v>
      </c>
      <c r="F258" s="11" t="n">
        <v>-48.11</v>
      </c>
      <c r="G258" s="9" t="inlineStr">
        <is>
          <t>-9%</t>
        </is>
      </c>
      <c r="H258" s="9" t="inlineStr"/>
      <c r="I258" s="12" t="inlineStr"/>
    </row>
    <row r="259">
      <c r="A259" s="9" t="n"/>
      <c r="B259" s="9" t="n"/>
      <c r="C259" s="10" t="inlineStr">
        <is>
          <t>Print</t>
        </is>
      </c>
      <c r="D259" s="11" t="n">
        <v>0</v>
      </c>
      <c r="E259" s="11" t="n">
        <v>0</v>
      </c>
      <c r="F259" s="11" t="n">
        <v>0</v>
      </c>
      <c r="G259" s="9" t="inlineStr">
        <is>
          <t>n/a</t>
        </is>
      </c>
      <c r="H259" s="9" t="inlineStr"/>
      <c r="I259" s="12" t="inlineStr"/>
    </row>
    <row r="260">
      <c r="A260" s="9" t="n"/>
      <c r="B260" s="9" t="n"/>
      <c r="C260" s="10" t="inlineStr">
        <is>
          <t>Cutting</t>
        </is>
      </c>
      <c r="D260" s="11" t="n">
        <v>1265.61</v>
      </c>
      <c r="E260" s="11" t="n">
        <v>523.6454</v>
      </c>
      <c r="F260" s="11" t="n">
        <v>741.96</v>
      </c>
      <c r="G260" s="9" t="inlineStr">
        <is>
          <t>+142%</t>
        </is>
      </c>
      <c r="H260" s="9" t="inlineStr"/>
      <c r="I260" s="12" t="inlineStr"/>
    </row>
    <row r="261">
      <c r="A261" s="9" t="n"/>
      <c r="B261" s="9" t="n"/>
      <c r="C261" s="10" t="inlineStr">
        <is>
          <t>Handwork</t>
        </is>
      </c>
      <c r="D261" s="11" t="n">
        <v>66.3</v>
      </c>
      <c r="E261" s="11" t="n">
        <v>945.2776</v>
      </c>
      <c r="F261" s="11" t="n">
        <v>-878.98</v>
      </c>
      <c r="G261" s="9" t="inlineStr">
        <is>
          <t>-93%</t>
        </is>
      </c>
      <c r="H261" s="9" t="inlineStr"/>
      <c r="I261" s="12" t="inlineStr"/>
    </row>
    <row r="262">
      <c r="A262" s="13" t="n"/>
      <c r="B262" s="13" t="inlineStr">
        <is>
          <t>1700</t>
        </is>
      </c>
      <c r="C262" s="14" t="inlineStr">
        <is>
          <t>TOTAL SELL</t>
        </is>
      </c>
      <c r="D262" s="15" t="n">
        <v>2768.73</v>
      </c>
      <c r="E262" s="15" t="n">
        <v>4029.71</v>
      </c>
      <c r="F262" s="15" t="n">
        <v>-1260.98</v>
      </c>
      <c r="G262" s="13" t="inlineStr">
        <is>
          <t>-31%</t>
        </is>
      </c>
      <c r="H262" s="16" t="inlineStr">
        <is>
          <t>FAIL</t>
        </is>
      </c>
      <c r="I262" s="13" t="inlineStr"/>
    </row>
    <row r="264">
      <c r="A264" s="7" t="inlineStr">
        <is>
          <t>PO 47928 / MTD 645-90566A - SPOT RW-260623-091031 - iQuote #223207 - qty 210 - BECAME A JOB - iQuote OptDesc: CAD Cut - FRO over 12 hours cutting</t>
        </is>
      </c>
    </row>
    <row r="265">
      <c r="A265" s="8" t="inlineStr">
        <is>
          <t xml:space="preserve">    Resolution: only one option available</t>
        </is>
      </c>
    </row>
    <row r="266">
      <c r="A266" s="9" t="n"/>
      <c r="B266" s="9" t="inlineStr">
        <is>
          <t>210</t>
        </is>
      </c>
      <c r="C266" s="10" t="inlineStr">
        <is>
          <t>Material</t>
        </is>
      </c>
      <c r="D266" s="11" t="n">
        <v>267.4</v>
      </c>
      <c r="E266" s="11" t="n">
        <v>301.682</v>
      </c>
      <c r="F266" s="11" t="n">
        <v>-34.28</v>
      </c>
      <c r="G266" s="9" t="inlineStr">
        <is>
          <t>-11%</t>
        </is>
      </c>
      <c r="H266" s="9" t="inlineStr"/>
      <c r="I266" s="12" t="inlineStr"/>
    </row>
    <row r="267">
      <c r="A267" s="9" t="n"/>
      <c r="B267" s="9" t="n"/>
      <c r="C267" s="10" t="inlineStr">
        <is>
          <t>Print</t>
        </is>
      </c>
      <c r="D267" s="11" t="n">
        <v>367.63</v>
      </c>
      <c r="E267" s="11" t="n">
        <v>214.164</v>
      </c>
      <c r="F267" s="11" t="n">
        <v>153.47</v>
      </c>
      <c r="G267" s="9" t="inlineStr">
        <is>
          <t>+72%</t>
        </is>
      </c>
      <c r="H267" s="9" t="inlineStr"/>
      <c r="I267" s="12" t="inlineStr"/>
    </row>
    <row r="268">
      <c r="A268" s="9" t="n"/>
      <c r="B268" s="9" t="n"/>
      <c r="C268" s="10" t="inlineStr">
        <is>
          <t>Cutting</t>
        </is>
      </c>
      <c r="D268" s="11" t="n">
        <v>407.8</v>
      </c>
      <c r="E268" s="11" t="n">
        <v>875.7729</v>
      </c>
      <c r="F268" s="11" t="n">
        <v>-467.97</v>
      </c>
      <c r="G268" s="9" t="inlineStr">
        <is>
          <t>-53%</t>
        </is>
      </c>
      <c r="H268" s="9" t="inlineStr"/>
      <c r="I268" s="12" t="inlineStr"/>
    </row>
    <row r="269">
      <c r="A269" s="9" t="n"/>
      <c r="B269" s="9" t="n"/>
      <c r="C269" s="10" t="inlineStr">
        <is>
          <t>Handwork</t>
        </is>
      </c>
      <c r="D269" s="11" t="n">
        <v>29.75</v>
      </c>
      <c r="E269" s="11" t="n">
        <v>0</v>
      </c>
      <c r="F269" s="11" t="n">
        <v>29.75</v>
      </c>
      <c r="G269" s="9" t="inlineStr">
        <is>
          <t>n/a</t>
        </is>
      </c>
      <c r="H269" s="9" t="inlineStr"/>
      <c r="I269" s="12" t="inlineStr"/>
    </row>
    <row r="270">
      <c r="A270" s="13" t="n"/>
      <c r="B270" s="13" t="inlineStr">
        <is>
          <t>210</t>
        </is>
      </c>
      <c r="C270" s="14" t="inlineStr">
        <is>
          <t>TOTAL SELL</t>
        </is>
      </c>
      <c r="D270" s="15" t="n">
        <v>1752.51</v>
      </c>
      <c r="E270" s="15" t="n">
        <v>1826.19</v>
      </c>
      <c r="F270" s="15" t="n">
        <v>-73.68000000000001</v>
      </c>
      <c r="G270" s="13" t="inlineStr">
        <is>
          <t>-4%</t>
        </is>
      </c>
      <c r="H270" s="17" t="inlineStr">
        <is>
          <t>PASS</t>
        </is>
      </c>
      <c r="I270" s="13" t="inlineStr"/>
    </row>
    <row r="272">
      <c r="A272" s="7" t="inlineStr">
        <is>
          <t>Power Prep Mixer 01.27.2025 - SPOT RW-260727-090826 - iQuote #223590 - qty 50 - BECAME A JOB - iQuote OptDesc: Option 1</t>
        </is>
      </c>
    </row>
    <row r="273">
      <c r="A273" s="8" t="inlineStr">
        <is>
          <t xml:space="preserve">    Resolution: only one option available</t>
        </is>
      </c>
    </row>
    <row r="274">
      <c r="A274" s="9" t="n"/>
      <c r="B274" s="9" t="inlineStr">
        <is>
          <t>50</t>
        </is>
      </c>
      <c r="C274" s="10" t="inlineStr">
        <is>
          <t>Material</t>
        </is>
      </c>
      <c r="D274" s="11" t="n">
        <v>152.57</v>
      </c>
      <c r="E274" s="11" t="n">
        <v>125.6762</v>
      </c>
      <c r="F274" s="11" t="n">
        <v>26.89</v>
      </c>
      <c r="G274" s="9" t="inlineStr">
        <is>
          <t>+21%</t>
        </is>
      </c>
      <c r="H274" s="9" t="inlineStr"/>
      <c r="I274" s="12" t="inlineStr"/>
    </row>
    <row r="275">
      <c r="A275" s="9" t="n"/>
      <c r="B275" s="9" t="n"/>
      <c r="C275" s="10" t="inlineStr">
        <is>
          <t>Print</t>
        </is>
      </c>
      <c r="D275" s="11" t="n">
        <v>175.24</v>
      </c>
      <c r="E275" s="11" t="n">
        <v>157.6226</v>
      </c>
      <c r="F275" s="11" t="n">
        <v>17.62</v>
      </c>
      <c r="G275" s="9" t="inlineStr">
        <is>
          <t>+11%</t>
        </is>
      </c>
      <c r="H275" s="9" t="inlineStr"/>
      <c r="I275" s="12" t="inlineStr"/>
    </row>
    <row r="276">
      <c r="A276" s="9" t="n"/>
      <c r="B276" s="9" t="n"/>
      <c r="C276" s="10" t="inlineStr">
        <is>
          <t>Cutting</t>
        </is>
      </c>
      <c r="D276" s="11" t="n">
        <v>132.76</v>
      </c>
      <c r="E276" s="11" t="n">
        <v>134.6938</v>
      </c>
      <c r="F276" s="11" t="n">
        <v>-1.93</v>
      </c>
      <c r="G276" s="9" t="inlineStr">
        <is>
          <t>-1%</t>
        </is>
      </c>
      <c r="H276" s="9" t="inlineStr"/>
      <c r="I276" s="12" t="inlineStr"/>
    </row>
    <row r="277">
      <c r="A277" s="9" t="n"/>
      <c r="B277" s="9" t="n"/>
      <c r="C277" s="10" t="inlineStr">
        <is>
          <t>Handwork</t>
        </is>
      </c>
      <c r="D277" s="11" t="n">
        <v>39.8</v>
      </c>
      <c r="E277" s="11" t="n">
        <v>35</v>
      </c>
      <c r="F277" s="11" t="n">
        <v>4.8</v>
      </c>
      <c r="G277" s="9" t="inlineStr">
        <is>
          <t>+14%</t>
        </is>
      </c>
      <c r="H277" s="9" t="inlineStr"/>
      <c r="I277" s="12" t="inlineStr"/>
    </row>
    <row r="278">
      <c r="A278" s="13" t="n"/>
      <c r="B278" s="13" t="inlineStr">
        <is>
          <t>50</t>
        </is>
      </c>
      <c r="C278" s="14" t="inlineStr">
        <is>
          <t>TOTAL SELL</t>
        </is>
      </c>
      <c r="D278" s="15" t="n">
        <v>1050.73</v>
      </c>
      <c r="E278" s="15" t="n">
        <v>724.2</v>
      </c>
      <c r="F278" s="15" t="n">
        <v>326.53</v>
      </c>
      <c r="G278" s="13" t="inlineStr">
        <is>
          <t>+45%</t>
        </is>
      </c>
      <c r="H278" s="16" t="inlineStr">
        <is>
          <t>FAIL</t>
        </is>
      </c>
      <c r="I278" s="13" t="inlineStr"/>
    </row>
    <row r="280">
      <c r="A280" s="7" t="inlineStr">
        <is>
          <t>Power Prep Mixer 01.27.2025 - SPOT RW-260727-090826 - iQuote #223590 - qty 100 - BECAME A JOB - iQuote OptDesc: Option 1</t>
        </is>
      </c>
    </row>
    <row r="281">
      <c r="A281" s="8" t="inlineStr">
        <is>
          <t xml:space="preserve">    Resolution: only one option available</t>
        </is>
      </c>
    </row>
    <row r="282">
      <c r="A282" s="9" t="n"/>
      <c r="B282" s="9" t="inlineStr">
        <is>
          <t>100</t>
        </is>
      </c>
      <c r="C282" s="10" t="inlineStr">
        <is>
          <t>Material</t>
        </is>
      </c>
      <c r="D282" s="11" t="n">
        <v>248.94</v>
      </c>
      <c r="E282" s="11" t="n">
        <v>227.788</v>
      </c>
      <c r="F282" s="11" t="n">
        <v>21.15</v>
      </c>
      <c r="G282" s="9" t="inlineStr">
        <is>
          <t>+9%</t>
        </is>
      </c>
      <c r="H282" s="9" t="inlineStr"/>
      <c r="I282" s="12" t="inlineStr"/>
    </row>
    <row r="283">
      <c r="A283" s="9" t="n"/>
      <c r="B283" s="9" t="n"/>
      <c r="C283" s="10" t="inlineStr">
        <is>
          <t>Print</t>
        </is>
      </c>
      <c r="D283" s="11" t="n">
        <v>285.91</v>
      </c>
      <c r="E283" s="11" t="n">
        <v>247.5751</v>
      </c>
      <c r="F283" s="11" t="n">
        <v>38.33</v>
      </c>
      <c r="G283" s="9" t="inlineStr">
        <is>
          <t>+16%</t>
        </is>
      </c>
      <c r="H283" s="9" t="inlineStr"/>
      <c r="I283" s="12" t="inlineStr"/>
    </row>
    <row r="284">
      <c r="A284" s="9" t="n"/>
      <c r="B284" s="9" t="n"/>
      <c r="C284" s="10" t="inlineStr">
        <is>
          <t>Cutting</t>
        </is>
      </c>
      <c r="D284" s="11" t="n">
        <v>212.84</v>
      </c>
      <c r="E284" s="11" t="n">
        <v>232.9229</v>
      </c>
      <c r="F284" s="11" t="n">
        <v>-20.08</v>
      </c>
      <c r="G284" s="9" t="inlineStr">
        <is>
          <t>-9%</t>
        </is>
      </c>
      <c r="H284" s="9" t="inlineStr"/>
      <c r="I284" s="12" t="inlineStr"/>
    </row>
    <row r="285">
      <c r="A285" s="9" t="n"/>
      <c r="B285" s="9" t="n"/>
      <c r="C285" s="10" t="inlineStr">
        <is>
          <t>Handwork</t>
        </is>
      </c>
      <c r="D285" s="11" t="n">
        <v>78.75</v>
      </c>
      <c r="E285" s="11" t="n">
        <v>60</v>
      </c>
      <c r="F285" s="11" t="n">
        <v>18.75</v>
      </c>
      <c r="G285" s="9" t="inlineStr">
        <is>
          <t>+31%</t>
        </is>
      </c>
      <c r="H285" s="9" t="inlineStr"/>
      <c r="I285" s="12" t="inlineStr"/>
    </row>
    <row r="286">
      <c r="A286" s="13" t="n"/>
      <c r="B286" s="13" t="inlineStr">
        <is>
          <t>100</t>
        </is>
      </c>
      <c r="C286" s="14" t="inlineStr">
        <is>
          <t>TOTAL SELL</t>
        </is>
      </c>
      <c r="D286" s="15" t="n">
        <v>1361.8</v>
      </c>
      <c r="E286" s="15" t="n">
        <v>1230.77</v>
      </c>
      <c r="F286" s="15" t="n">
        <v>131.03</v>
      </c>
      <c r="G286" s="13" t="inlineStr">
        <is>
          <t>+11%</t>
        </is>
      </c>
      <c r="H286" s="18" t="inlineStr">
        <is>
          <t>REVIEW</t>
        </is>
      </c>
      <c r="I286" s="13" t="inlineStr"/>
    </row>
    <row r="288">
      <c r="A288" s="7" t="inlineStr">
        <is>
          <t>Project ID#128013 - SPOT RW-260629-131349 - iQuote #223408 - qty 525 - iQuote OptDesc: Option 1</t>
        </is>
      </c>
    </row>
    <row r="289">
      <c r="A289" s="8" t="inlineStr">
        <is>
          <t xml:space="preserve">    Resolution: only one option available</t>
        </is>
      </c>
    </row>
    <row r="290">
      <c r="A290" s="9" t="n"/>
      <c r="B290" s="9" t="inlineStr">
        <is>
          <t>525</t>
        </is>
      </c>
      <c r="C290" s="10" t="inlineStr">
        <is>
          <t>Material</t>
        </is>
      </c>
      <c r="D290" s="11" t="n">
        <v>351.68</v>
      </c>
      <c r="E290" s="11" t="n">
        <v>375.7805</v>
      </c>
      <c r="F290" s="11" t="n">
        <v>-24.1</v>
      </c>
      <c r="G290" s="9" t="inlineStr">
        <is>
          <t>-6%</t>
        </is>
      </c>
      <c r="H290" s="9" t="inlineStr"/>
      <c r="I290" s="12" t="inlineStr"/>
    </row>
    <row r="291">
      <c r="A291" s="9" t="n"/>
      <c r="B291" s="9" t="n"/>
      <c r="C291" s="10" t="inlineStr">
        <is>
          <t>Print</t>
        </is>
      </c>
      <c r="D291" s="11" t="n">
        <v>717.33</v>
      </c>
      <c r="E291" s="11" t="n">
        <v>568.0216</v>
      </c>
      <c r="F291" s="11" t="n">
        <v>149.31</v>
      </c>
      <c r="G291" s="9" t="inlineStr">
        <is>
          <t>+26%</t>
        </is>
      </c>
      <c r="H291" s="9" t="inlineStr"/>
      <c r="I291" s="12" t="inlineStr"/>
    </row>
    <row r="292">
      <c r="A292" s="9" t="n"/>
      <c r="B292" s="9" t="n"/>
      <c r="C292" s="10" t="inlineStr">
        <is>
          <t>Cutting</t>
        </is>
      </c>
      <c r="D292" s="11" t="n">
        <v>445.74</v>
      </c>
      <c r="E292" s="11" t="n">
        <v>489.0758</v>
      </c>
      <c r="F292" s="11" t="n">
        <v>-43.34</v>
      </c>
      <c r="G292" s="9" t="inlineStr">
        <is>
          <t>-9%</t>
        </is>
      </c>
      <c r="H292" s="9" t="inlineStr"/>
      <c r="I292" s="12" t="inlineStr"/>
    </row>
    <row r="293">
      <c r="A293" s="9" t="n"/>
      <c r="B293" s="9" t="n"/>
      <c r="C293" s="10" t="inlineStr">
        <is>
          <t>Handwork</t>
        </is>
      </c>
      <c r="D293" s="11" t="n">
        <v>0</v>
      </c>
      <c r="E293" s="11" t="n">
        <v>0</v>
      </c>
      <c r="F293" s="11" t="n">
        <v>0</v>
      </c>
      <c r="G293" s="9" t="inlineStr">
        <is>
          <t>n/a</t>
        </is>
      </c>
      <c r="H293" s="9" t="inlineStr"/>
      <c r="I293" s="12" t="inlineStr"/>
    </row>
    <row r="294">
      <c r="A294" s="13" t="n"/>
      <c r="B294" s="13" t="inlineStr">
        <is>
          <t>525</t>
        </is>
      </c>
      <c r="C294" s="14" t="inlineStr">
        <is>
          <t>TOTAL SELL</t>
        </is>
      </c>
      <c r="D294" s="15" t="n">
        <v>2634.69</v>
      </c>
      <c r="E294" s="15" t="n">
        <v>2452.48</v>
      </c>
      <c r="F294" s="15" t="n">
        <v>182.21</v>
      </c>
      <c r="G294" s="13" t="inlineStr">
        <is>
          <t>+7%</t>
        </is>
      </c>
      <c r="H294" s="17" t="inlineStr">
        <is>
          <t>PASS</t>
        </is>
      </c>
      <c r="I294" s="13" t="inlineStr"/>
    </row>
    <row r="296">
      <c r="A296" s="7" t="inlineStr">
        <is>
          <t>RFQ Scotts 07-09-26 - SPOT RW-260722-085112 - iQuote #223596 - qty 700, 1000 - BECAME A JOB - iQuote OptDesc: DieCut</t>
        </is>
      </c>
    </row>
    <row r="297">
      <c r="A297" s="8" t="inlineStr">
        <is>
          <t xml:space="preserve">    Resolution: only one option available</t>
        </is>
      </c>
    </row>
    <row r="298">
      <c r="A298" s="9" t="n"/>
      <c r="B298" s="9" t="inlineStr">
        <is>
          <t>700, 1000</t>
        </is>
      </c>
      <c r="C298" s="10" t="inlineStr">
        <is>
          <t>Material</t>
        </is>
      </c>
      <c r="D298" s="11" t="n">
        <v>2083.52</v>
      </c>
      <c r="E298" s="11" t="n">
        <v>1883.0382</v>
      </c>
      <c r="F298" s="11" t="n">
        <v>200.48</v>
      </c>
      <c r="G298" s="9" t="inlineStr">
        <is>
          <t>+11%</t>
        </is>
      </c>
      <c r="H298" s="9" t="inlineStr"/>
      <c r="I298" s="12" t="inlineStr"/>
    </row>
    <row r="299">
      <c r="A299" s="9" t="n"/>
      <c r="B299" s="9" t="n"/>
      <c r="C299" s="10" t="inlineStr">
        <is>
          <t>Print</t>
        </is>
      </c>
      <c r="D299" s="11" t="n">
        <v>2698.96</v>
      </c>
      <c r="E299" s="11" t="n">
        <v>1540.0574</v>
      </c>
      <c r="F299" s="11" t="n">
        <v>1158.9</v>
      </c>
      <c r="G299" s="9" t="inlineStr">
        <is>
          <t>+75%</t>
        </is>
      </c>
      <c r="H299" s="9" t="inlineStr"/>
      <c r="I299" s="12" t="inlineStr"/>
    </row>
    <row r="300">
      <c r="A300" s="9" t="n"/>
      <c r="B300" s="9" t="n"/>
      <c r="C300" s="10" t="inlineStr">
        <is>
          <t>Cutting</t>
        </is>
      </c>
      <c r="D300" s="11" t="n">
        <v>648.13</v>
      </c>
      <c r="E300" s="11" t="n">
        <v>1208.1336</v>
      </c>
      <c r="F300" s="11" t="n">
        <v>-560</v>
      </c>
      <c r="G300" s="9" t="inlineStr">
        <is>
          <t>-46%</t>
        </is>
      </c>
      <c r="H300" s="9" t="inlineStr"/>
      <c r="I300" s="12" t="inlineStr"/>
    </row>
    <row r="301">
      <c r="A301" s="9" t="n"/>
      <c r="B301" s="9" t="n"/>
      <c r="C301" s="10" t="inlineStr">
        <is>
          <t>Handwork</t>
        </is>
      </c>
      <c r="D301" s="11" t="n">
        <v>241.4</v>
      </c>
      <c r="E301" s="11" t="n">
        <v>1908.8889</v>
      </c>
      <c r="F301" s="11" t="n">
        <v>-1667.49</v>
      </c>
      <c r="G301" s="9" t="inlineStr">
        <is>
          <t>-87%</t>
        </is>
      </c>
      <c r="H301" s="9" t="inlineStr"/>
      <c r="I301" s="12" t="inlineStr"/>
    </row>
    <row r="302">
      <c r="A302" s="9" t="n"/>
      <c r="B302" s="9" t="n"/>
      <c r="C302" s="10" t="inlineStr">
        <is>
          <t>Die</t>
        </is>
      </c>
      <c r="D302" s="11" t="n">
        <v>2760</v>
      </c>
      <c r="E302" s="9" t="n"/>
      <c r="F302" s="9" t="n"/>
      <c r="G302" s="9" t="inlineStr">
        <is>
          <t>n/a</t>
        </is>
      </c>
      <c r="H302" s="9" t="inlineStr"/>
      <c r="I302" s="12" t="inlineStr">
        <is>
          <t>iQuote export does not include die cost</t>
        </is>
      </c>
    </row>
    <row r="303">
      <c r="A303" s="13" t="n"/>
      <c r="B303" s="13" t="inlineStr">
        <is>
          <t>700, 1000</t>
        </is>
      </c>
      <c r="C303" s="14" t="inlineStr">
        <is>
          <t>TOTAL SELL</t>
        </is>
      </c>
      <c r="D303" s="15" t="n">
        <v>7869.86</v>
      </c>
      <c r="E303" s="15" t="n">
        <v>9299.35</v>
      </c>
      <c r="F303" s="15" t="n">
        <v>-1429.49</v>
      </c>
      <c r="G303" s="13" t="inlineStr">
        <is>
          <t>-15%</t>
        </is>
      </c>
      <c r="H303" s="18" t="inlineStr">
        <is>
          <t>REVIEW</t>
        </is>
      </c>
      <c r="I303" s="13" t="inlineStr"/>
    </row>
    <row r="305">
      <c r="A305" s="7" t="inlineStr">
        <is>
          <t>Re-Frame Display - Walmart (HOT Prototype) - SPOT RW-260717-111921 - iQuote #223706 - qty 2, 4, 8 - iQuote OptDesc: Option 1</t>
        </is>
      </c>
    </row>
    <row r="306">
      <c r="A306" s="8" t="inlineStr">
        <is>
          <t xml:space="preserve">    Resolution: only one option available</t>
        </is>
      </c>
    </row>
    <row r="307">
      <c r="A307" s="9" t="n"/>
      <c r="B307" s="9" t="inlineStr">
        <is>
          <t>2, 4, 8</t>
        </is>
      </c>
      <c r="C307" s="10" t="inlineStr">
        <is>
          <t>Material</t>
        </is>
      </c>
      <c r="D307" s="11" t="n">
        <v>265.93</v>
      </c>
      <c r="E307" s="11" t="n">
        <v>170.8384</v>
      </c>
      <c r="F307" s="11" t="n">
        <v>95.09</v>
      </c>
      <c r="G307" s="9" t="inlineStr">
        <is>
          <t>+56%</t>
        </is>
      </c>
      <c r="H307" s="9" t="inlineStr"/>
      <c r="I307" s="12" t="inlineStr"/>
    </row>
    <row r="308">
      <c r="A308" s="9" t="n"/>
      <c r="B308" s="9" t="n"/>
      <c r="C308" s="10" t="inlineStr">
        <is>
          <t>Print</t>
        </is>
      </c>
      <c r="D308" s="11" t="n">
        <v>404.1899999999999</v>
      </c>
      <c r="E308" s="11" t="n">
        <v>427.8979</v>
      </c>
      <c r="F308" s="11" t="n">
        <v>-23.71</v>
      </c>
      <c r="G308" s="9" t="inlineStr">
        <is>
          <t>-6%</t>
        </is>
      </c>
      <c r="H308" s="9" t="inlineStr"/>
      <c r="I308" s="12" t="inlineStr"/>
    </row>
    <row r="309">
      <c r="A309" s="9" t="n"/>
      <c r="B309" s="9" t="n"/>
      <c r="C309" s="10" t="inlineStr">
        <is>
          <t>Cutting</t>
        </is>
      </c>
      <c r="D309" s="11" t="n">
        <v>313.46</v>
      </c>
      <c r="E309" s="11" t="n">
        <v>283.1924</v>
      </c>
      <c r="F309" s="11" t="n">
        <v>30.27</v>
      </c>
      <c r="G309" s="9" t="inlineStr">
        <is>
          <t>+11%</t>
        </is>
      </c>
      <c r="H309" s="9" t="inlineStr"/>
      <c r="I309" s="12" t="inlineStr"/>
    </row>
    <row r="310">
      <c r="A310" s="9" t="n"/>
      <c r="B310" s="9" t="n"/>
      <c r="C310" s="10" t="inlineStr">
        <is>
          <t>Handwork</t>
        </is>
      </c>
      <c r="D310" s="11" t="n">
        <v>4</v>
      </c>
      <c r="E310" s="11" t="n">
        <v>12</v>
      </c>
      <c r="F310" s="11" t="n">
        <v>-8</v>
      </c>
      <c r="G310" s="9" t="inlineStr">
        <is>
          <t>-67%</t>
        </is>
      </c>
      <c r="H310" s="9" t="inlineStr"/>
      <c r="I310" s="12" t="inlineStr"/>
    </row>
    <row r="311">
      <c r="A311" s="13" t="n"/>
      <c r="B311" s="13" t="inlineStr">
        <is>
          <t>2, 4, 8</t>
        </is>
      </c>
      <c r="C311" s="14" t="inlineStr">
        <is>
          <t>TOTAL SELL</t>
        </is>
      </c>
      <c r="D311" s="15" t="n">
        <v>2845.190000000001</v>
      </c>
      <c r="E311" s="15" t="n">
        <v>1803.46</v>
      </c>
      <c r="F311" s="15" t="n">
        <v>1041.73</v>
      </c>
      <c r="G311" s="13" t="inlineStr">
        <is>
          <t>+58%</t>
        </is>
      </c>
      <c r="H311" s="16" t="inlineStr">
        <is>
          <t>FAIL</t>
        </is>
      </c>
      <c r="I311" s="13" t="inlineStr"/>
    </row>
    <row r="313">
      <c r="A313" s="7" t="inlineStr">
        <is>
          <t>Schaeffler Vehicle Lifetime P-17-EC-K251 87X87X43-INA Schachtel TEST - SPOT RW-260720-134257 - iQuote #223689 - qty 700 - iQuote OptDesc: Die Cut</t>
        </is>
      </c>
    </row>
    <row r="314">
      <c r="A314" s="8" t="inlineStr">
        <is>
          <t xml:space="preserve">    Resolution: only one option available</t>
        </is>
      </c>
    </row>
    <row r="315">
      <c r="A315" s="9" t="n"/>
      <c r="B315" s="9" t="inlineStr">
        <is>
          <t>700</t>
        </is>
      </c>
      <c r="C315" s="10" t="inlineStr">
        <is>
          <t>Material</t>
        </is>
      </c>
      <c r="D315" s="11" t="n">
        <v>910.46</v>
      </c>
      <c r="E315" s="11" t="n">
        <v>883.438</v>
      </c>
      <c r="F315" s="11" t="n">
        <v>27.02</v>
      </c>
      <c r="G315" s="9" t="inlineStr">
        <is>
          <t>+3%</t>
        </is>
      </c>
      <c r="H315" s="9" t="inlineStr"/>
      <c r="I315" s="12" t="inlineStr"/>
    </row>
    <row r="316">
      <c r="A316" s="9" t="n"/>
      <c r="B316" s="9" t="n"/>
      <c r="C316" s="10" t="inlineStr">
        <is>
          <t>Print</t>
        </is>
      </c>
      <c r="D316" s="11" t="n">
        <v>1120.83</v>
      </c>
      <c r="E316" s="11" t="n">
        <v>777.4765</v>
      </c>
      <c r="F316" s="11" t="n">
        <v>343.35</v>
      </c>
      <c r="G316" s="9" t="inlineStr">
        <is>
          <t>+44%</t>
        </is>
      </c>
      <c r="H316" s="9" t="inlineStr"/>
      <c r="I316" s="12" t="inlineStr"/>
    </row>
    <row r="317">
      <c r="A317" s="9" t="n"/>
      <c r="B317" s="9" t="n"/>
      <c r="C317" s="10" t="inlineStr">
        <is>
          <t>Cutting</t>
        </is>
      </c>
      <c r="D317" s="11" t="n">
        <v>292.23</v>
      </c>
      <c r="E317" s="11" t="n">
        <v>592.9794000000001</v>
      </c>
      <c r="F317" s="11" t="n">
        <v>-300.75</v>
      </c>
      <c r="G317" s="9" t="inlineStr">
        <is>
          <t>-51%</t>
        </is>
      </c>
      <c r="H317" s="9" t="inlineStr"/>
      <c r="I317" s="12" t="inlineStr"/>
    </row>
    <row r="318">
      <c r="A318" s="9" t="n"/>
      <c r="B318" s="9" t="n"/>
      <c r="C318" s="10" t="inlineStr">
        <is>
          <t>Handwork</t>
        </is>
      </c>
      <c r="D318" s="11" t="n">
        <v>1709.45</v>
      </c>
      <c r="E318" s="11" t="n">
        <v>517.6376</v>
      </c>
      <c r="F318" s="11" t="n">
        <v>1191.81</v>
      </c>
      <c r="G318" s="9" t="inlineStr">
        <is>
          <t>+230%</t>
        </is>
      </c>
      <c r="H318" s="9" t="inlineStr"/>
      <c r="I318" s="12" t="inlineStr"/>
    </row>
    <row r="319">
      <c r="A319" s="9" t="n"/>
      <c r="B319" s="9" t="n"/>
      <c r="C319" s="10" t="inlineStr">
        <is>
          <t>Die</t>
        </is>
      </c>
      <c r="D319" s="11" t="n">
        <v>1380</v>
      </c>
      <c r="E319" s="9" t="n"/>
      <c r="F319" s="9" t="n"/>
      <c r="G319" s="9" t="inlineStr">
        <is>
          <t>n/a</t>
        </is>
      </c>
      <c r="H319" s="9" t="inlineStr"/>
      <c r="I319" s="12" t="inlineStr">
        <is>
          <t>iQuote export does not include die cost</t>
        </is>
      </c>
    </row>
    <row r="320">
      <c r="A320" s="13" t="n"/>
      <c r="B320" s="13" t="inlineStr">
        <is>
          <t>700</t>
        </is>
      </c>
      <c r="C320" s="14" t="inlineStr">
        <is>
          <t>TOTAL SELL</t>
        </is>
      </c>
      <c r="D320" s="15" t="n">
        <v>5753.95</v>
      </c>
      <c r="E320" s="15" t="n">
        <v>4904.67</v>
      </c>
      <c r="F320" s="15" t="n">
        <v>849.28</v>
      </c>
      <c r="G320" s="13" t="inlineStr">
        <is>
          <t>+17%</t>
        </is>
      </c>
      <c r="H320" s="18" t="inlineStr">
        <is>
          <t>REVIEW</t>
        </is>
      </c>
      <c r="I320" s="13" t="inlineStr"/>
    </row>
    <row r="322">
      <c r="A322" s="7" t="inlineStr">
        <is>
          <t>SpectroDolce - Fudge Tray Display - SPOT RW-260730-155953 - iQuote #223882 - qty 500 - iQuote OptDesc: Option 1  CAD cut</t>
        </is>
      </c>
    </row>
    <row r="323">
      <c r="A323" s="8" t="inlineStr">
        <is>
          <t xml:space="preserve">    Resolution: only one option available</t>
        </is>
      </c>
    </row>
    <row r="324">
      <c r="A324" s="9" t="n"/>
      <c r="B324" s="9" t="inlineStr">
        <is>
          <t>500</t>
        </is>
      </c>
      <c r="C324" s="10" t="inlineStr">
        <is>
          <t>Material</t>
        </is>
      </c>
      <c r="D324" s="11" t="n">
        <v>302.39</v>
      </c>
      <c r="E324" s="11" t="n">
        <v>240.8145</v>
      </c>
      <c r="F324" s="11" t="n">
        <v>61.58</v>
      </c>
      <c r="G324" s="9" t="inlineStr">
        <is>
          <t>+26%</t>
        </is>
      </c>
      <c r="H324" s="9" t="inlineStr"/>
      <c r="I324" s="12" t="inlineStr"/>
    </row>
    <row r="325">
      <c r="A325" s="9" t="n"/>
      <c r="B325" s="9" t="n"/>
      <c r="C325" s="10" t="inlineStr">
        <is>
          <t>Print</t>
        </is>
      </c>
      <c r="D325" s="11" t="n">
        <v>704.9299999999999</v>
      </c>
      <c r="E325" s="11" t="n">
        <v>423.3641</v>
      </c>
      <c r="F325" s="11" t="n">
        <v>281.57</v>
      </c>
      <c r="G325" s="9" t="inlineStr">
        <is>
          <t>+66%</t>
        </is>
      </c>
      <c r="H325" s="9" t="inlineStr"/>
      <c r="I325" s="12" t="inlineStr"/>
    </row>
    <row r="326">
      <c r="A326" s="9" t="n"/>
      <c r="B326" s="9" t="n"/>
      <c r="C326" s="10" t="inlineStr">
        <is>
          <t>Cutting</t>
        </is>
      </c>
      <c r="D326" s="11" t="n">
        <v>382.35</v>
      </c>
      <c r="E326" s="11" t="n">
        <v>427.4167</v>
      </c>
      <c r="F326" s="11" t="n">
        <v>-45.07</v>
      </c>
      <c r="G326" s="9" t="inlineStr">
        <is>
          <t>-10%</t>
        </is>
      </c>
      <c r="H326" s="9" t="inlineStr"/>
      <c r="I326" s="12" t="inlineStr"/>
    </row>
    <row r="327">
      <c r="A327" s="9" t="n"/>
      <c r="B327" s="9" t="n"/>
      <c r="C327" s="10" t="inlineStr">
        <is>
          <t>Handwork</t>
        </is>
      </c>
      <c r="D327" s="11" t="n">
        <v>0</v>
      </c>
      <c r="E327" s="11" t="n">
        <v>0</v>
      </c>
      <c r="F327" s="11" t="n">
        <v>0</v>
      </c>
      <c r="G327" s="9" t="inlineStr">
        <is>
          <t>n/a</t>
        </is>
      </c>
      <c r="H327" s="9" t="inlineStr"/>
      <c r="I327" s="12" t="inlineStr"/>
    </row>
    <row r="328">
      <c r="A328" s="13" t="n"/>
      <c r="B328" s="13" t="inlineStr">
        <is>
          <t>500</t>
        </is>
      </c>
      <c r="C328" s="14" t="inlineStr">
        <is>
          <t>TOTAL SELL</t>
        </is>
      </c>
      <c r="D328" s="15" t="n">
        <v>2444.65</v>
      </c>
      <c r="E328" s="15" t="n">
        <v>1961.23</v>
      </c>
      <c r="F328" s="15" t="n">
        <v>483.42</v>
      </c>
      <c r="G328" s="13" t="inlineStr">
        <is>
          <t>+25%</t>
        </is>
      </c>
      <c r="H328" s="16" t="inlineStr">
        <is>
          <t>FAIL</t>
        </is>
      </c>
      <c r="I328" s="13" t="inlineStr"/>
    </row>
    <row r="330">
      <c r="A330" s="7" t="inlineStr">
        <is>
          <t>SpectroDolce - Fudge Tray Display - SPOT RW-260730-155953 - iQuote #223882 - qty 1000 - iQuote OptDesc: Option 1  CAD cut</t>
        </is>
      </c>
    </row>
    <row r="331">
      <c r="A331" s="8" t="inlineStr">
        <is>
          <t xml:space="preserve">    Resolution: only one option available</t>
        </is>
      </c>
    </row>
    <row r="332">
      <c r="A332" s="9" t="n"/>
      <c r="B332" s="9" t="inlineStr">
        <is>
          <t>1000</t>
        </is>
      </c>
      <c r="C332" s="10" t="inlineStr">
        <is>
          <t>Material</t>
        </is>
      </c>
      <c r="D332" s="11" t="n">
        <v>501.7</v>
      </c>
      <c r="E332" s="11" t="n">
        <v>455.595</v>
      </c>
      <c r="F332" s="11" t="n">
        <v>46.1</v>
      </c>
      <c r="G332" s="9" t="inlineStr">
        <is>
          <t>+10%</t>
        </is>
      </c>
      <c r="H332" s="9" t="inlineStr"/>
      <c r="I332" s="12" t="inlineStr"/>
    </row>
    <row r="333">
      <c r="A333" s="9" t="n"/>
      <c r="B333" s="9" t="n"/>
      <c r="C333" s="10" t="inlineStr">
        <is>
          <t>Print</t>
        </is>
      </c>
      <c r="D333" s="11" t="n">
        <v>1202.34</v>
      </c>
      <c r="E333" s="11" t="n">
        <v>768.4952</v>
      </c>
      <c r="F333" s="11" t="n">
        <v>433.84</v>
      </c>
      <c r="G333" s="9" t="inlineStr">
        <is>
          <t>+56%</t>
        </is>
      </c>
      <c r="H333" s="9" t="inlineStr"/>
      <c r="I333" s="12" t="inlineStr"/>
    </row>
    <row r="334">
      <c r="A334" s="9" t="n"/>
      <c r="B334" s="9" t="n"/>
      <c r="C334" s="10" t="inlineStr">
        <is>
          <t>Cutting</t>
        </is>
      </c>
      <c r="D334" s="11" t="n">
        <v>718.6900000000001</v>
      </c>
      <c r="E334" s="11" t="n">
        <v>820.3333</v>
      </c>
      <c r="F334" s="11" t="n">
        <v>-101.64</v>
      </c>
      <c r="G334" s="9" t="inlineStr">
        <is>
          <t>-12%</t>
        </is>
      </c>
      <c r="H334" s="9" t="inlineStr"/>
      <c r="I334" s="12" t="inlineStr"/>
    </row>
    <row r="335">
      <c r="A335" s="9" t="n"/>
      <c r="B335" s="9" t="n"/>
      <c r="C335" s="10" t="inlineStr">
        <is>
          <t>Handwork</t>
        </is>
      </c>
      <c r="D335" s="11" t="n">
        <v>0</v>
      </c>
      <c r="E335" s="11" t="n">
        <v>0</v>
      </c>
      <c r="F335" s="11" t="n">
        <v>0</v>
      </c>
      <c r="G335" s="9" t="inlineStr">
        <is>
          <t>n/a</t>
        </is>
      </c>
      <c r="H335" s="9" t="inlineStr"/>
      <c r="I335" s="12" t="inlineStr"/>
    </row>
    <row r="336">
      <c r="A336" s="13" t="n"/>
      <c r="B336" s="13" t="inlineStr">
        <is>
          <t>1000</t>
        </is>
      </c>
      <c r="C336" s="14" t="inlineStr">
        <is>
          <t>TOTAL SELL</t>
        </is>
      </c>
      <c r="D336" s="15" t="n">
        <v>3801.67</v>
      </c>
      <c r="E336" s="15" t="n">
        <v>3441.27</v>
      </c>
      <c r="F336" s="15" t="n">
        <v>360.4</v>
      </c>
      <c r="G336" s="13" t="inlineStr">
        <is>
          <t>+10%</t>
        </is>
      </c>
      <c r="H336" s="18" t="inlineStr">
        <is>
          <t>REVIEW</t>
        </is>
      </c>
      <c r="I336" s="13" t="inlineStr"/>
    </row>
    <row r="338">
      <c r="A338" s="7" t="inlineStr">
        <is>
          <t>Strat Pro Buttermelt PDQ - 2nd Grouping - SPOT RW-260622-133707 - iQuote #222085 - qty 515 - iQuote OptDesc: RSC/Filler/Tray</t>
        </is>
      </c>
    </row>
    <row r="339">
      <c r="A339" s="8" t="inlineStr">
        <is>
          <t xml:space="preserve">    Resolution: only one option available</t>
        </is>
      </c>
    </row>
    <row r="340">
      <c r="A340" s="19" t="inlineStr">
        <is>
          <t xml:space="preserve">    Note: SPOT D/C Tray was priced as saber + CAD - 3 cuts, 4 blanks out on a 60x120 sheet (unusual case).</t>
        </is>
      </c>
    </row>
    <row r="341">
      <c r="A341" s="19" t="inlineStr">
        <is>
          <t xml:space="preserve">    Note: iQuote quoted both bobst AND zund for the same component.</t>
        </is>
      </c>
    </row>
    <row r="342">
      <c r="A342" s="9" t="n"/>
      <c r="B342" s="9" t="inlineStr">
        <is>
          <t>515</t>
        </is>
      </c>
      <c r="C342" s="10" t="inlineStr">
        <is>
          <t>Material</t>
        </is>
      </c>
      <c r="D342" s="11" t="n">
        <v>829.88</v>
      </c>
      <c r="E342" s="11" t="n">
        <v>1225.2227</v>
      </c>
      <c r="F342" s="11" t="n">
        <v>-395.34</v>
      </c>
      <c r="G342" s="9" t="inlineStr">
        <is>
          <t>-32%</t>
        </is>
      </c>
      <c r="H342" s="9" t="inlineStr"/>
      <c r="I342" s="12" t="inlineStr"/>
    </row>
    <row r="343">
      <c r="A343" s="9" t="n"/>
      <c r="B343" s="9" t="n"/>
      <c r="C343" s="10" t="inlineStr">
        <is>
          <t>Print</t>
        </is>
      </c>
      <c r="D343" s="11" t="n">
        <v>1084.97</v>
      </c>
      <c r="E343" s="11" t="n">
        <v>893.9060999999999</v>
      </c>
      <c r="F343" s="11" t="n">
        <v>191.06</v>
      </c>
      <c r="G343" s="9" t="inlineStr">
        <is>
          <t>+21%</t>
        </is>
      </c>
      <c r="H343" s="9" t="inlineStr"/>
      <c r="I343" s="12" t="inlineStr"/>
    </row>
    <row r="344">
      <c r="A344" s="9" t="n"/>
      <c r="B344" s="9" t="n"/>
      <c r="C344" s="10" t="inlineStr">
        <is>
          <t>Cutting</t>
        </is>
      </c>
      <c r="D344" s="11" t="n">
        <v>1195.33</v>
      </c>
      <c r="E344" s="11" t="n">
        <v>924.1016</v>
      </c>
      <c r="F344" s="11" t="n">
        <v>271.23</v>
      </c>
      <c r="G344" s="9" t="inlineStr">
        <is>
          <t>+29%</t>
        </is>
      </c>
      <c r="H344" s="9" t="inlineStr"/>
      <c r="I344" s="12" t="inlineStr"/>
    </row>
    <row r="345">
      <c r="A345" s="9" t="n"/>
      <c r="B345" s="9" t="n"/>
      <c r="C345" s="10" t="inlineStr">
        <is>
          <t>Handwork</t>
        </is>
      </c>
      <c r="D345" s="11" t="n">
        <v>664.45</v>
      </c>
      <c r="E345" s="11" t="n">
        <v>366.2934</v>
      </c>
      <c r="F345" s="11" t="n">
        <v>298.16</v>
      </c>
      <c r="G345" s="9" t="inlineStr">
        <is>
          <t>+81%</t>
        </is>
      </c>
      <c r="H345" s="9" t="inlineStr"/>
      <c r="I345" s="12" t="inlineStr"/>
    </row>
    <row r="346">
      <c r="A346" s="9" t="n"/>
      <c r="B346" s="9" t="n"/>
      <c r="C346" s="10" t="inlineStr">
        <is>
          <t>Die</t>
        </is>
      </c>
      <c r="D346" s="11" t="n">
        <v>1380</v>
      </c>
      <c r="E346" s="9" t="n"/>
      <c r="F346" s="9" t="n"/>
      <c r="G346" s="9" t="inlineStr">
        <is>
          <t>n/a</t>
        </is>
      </c>
      <c r="H346" s="9" t="inlineStr"/>
      <c r="I346" s="12" t="inlineStr">
        <is>
          <t>iQuote export does not include die cost</t>
        </is>
      </c>
    </row>
    <row r="347">
      <c r="A347" s="13" t="n"/>
      <c r="B347" s="13" t="inlineStr">
        <is>
          <t>515</t>
        </is>
      </c>
      <c r="C347" s="14" t="inlineStr">
        <is>
          <t>TOTAL SELL</t>
        </is>
      </c>
      <c r="D347" s="15" t="n">
        <v>6535.47</v>
      </c>
      <c r="E347" s="15" t="n">
        <v>8118.469999999999</v>
      </c>
      <c r="F347" s="15" t="n">
        <v>-1583</v>
      </c>
      <c r="G347" s="13" t="inlineStr">
        <is>
          <t>-20%</t>
        </is>
      </c>
      <c r="H347" s="18" t="inlineStr">
        <is>
          <t>REVIEW</t>
        </is>
      </c>
      <c r="I347" s="13" t="inlineStr"/>
    </row>
    <row r="349">
      <c r="A349" s="7" t="inlineStr">
        <is>
          <t>TR-10351 16x8.5x6 - SPOT RW-260720-133223 - iQuote #223701 - qty 50 - iQuote OptDesc: Option 1</t>
        </is>
      </c>
    </row>
    <row r="350">
      <c r="A350" s="8" t="inlineStr">
        <is>
          <t xml:space="preserve">    Resolution: only one option available</t>
        </is>
      </c>
    </row>
    <row r="351">
      <c r="A351" s="9" t="n"/>
      <c r="B351" s="9" t="inlineStr">
        <is>
          <t>50</t>
        </is>
      </c>
      <c r="C351" s="10" t="inlineStr">
        <is>
          <t>Material</t>
        </is>
      </c>
      <c r="D351" s="11" t="n">
        <v>311.12</v>
      </c>
      <c r="E351" s="11" t="n">
        <v>255.4074</v>
      </c>
      <c r="F351" s="11" t="n">
        <v>55.71</v>
      </c>
      <c r="G351" s="9" t="inlineStr">
        <is>
          <t>+22%</t>
        </is>
      </c>
      <c r="H351" s="9" t="inlineStr"/>
      <c r="I351" s="12" t="inlineStr"/>
    </row>
    <row r="352">
      <c r="A352" s="9" t="n"/>
      <c r="B352" s="9" t="n"/>
      <c r="C352" s="10" t="inlineStr">
        <is>
          <t>Print</t>
        </is>
      </c>
      <c r="D352" s="11" t="n">
        <v>521.8100000000001</v>
      </c>
      <c r="E352" s="11" t="n">
        <v>559.5767</v>
      </c>
      <c r="F352" s="11" t="n">
        <v>-37.77</v>
      </c>
      <c r="G352" s="9" t="inlineStr">
        <is>
          <t>-7%</t>
        </is>
      </c>
      <c r="H352" s="9" t="inlineStr"/>
      <c r="I352" s="12" t="inlineStr"/>
    </row>
    <row r="353">
      <c r="A353" s="9" t="n"/>
      <c r="B353" s="9" t="n"/>
      <c r="C353" s="10" t="inlineStr">
        <is>
          <t>Cutting</t>
        </is>
      </c>
      <c r="D353" s="11" t="n">
        <v>241.58</v>
      </c>
      <c r="E353" s="11" t="n">
        <v>234.3125</v>
      </c>
      <c r="F353" s="11" t="n">
        <v>7.27</v>
      </c>
      <c r="G353" s="9" t="inlineStr">
        <is>
          <t>+3%</t>
        </is>
      </c>
      <c r="H353" s="9" t="inlineStr"/>
      <c r="I353" s="12" t="inlineStr"/>
    </row>
    <row r="354">
      <c r="A354" s="9" t="n"/>
      <c r="B354" s="9" t="n"/>
      <c r="C354" s="10" t="inlineStr">
        <is>
          <t>Handwork</t>
        </is>
      </c>
      <c r="D354" s="11" t="n">
        <v>14.45</v>
      </c>
      <c r="E354" s="11" t="n">
        <v>0</v>
      </c>
      <c r="F354" s="11" t="n">
        <v>14.45</v>
      </c>
      <c r="G354" s="9" t="inlineStr">
        <is>
          <t>n/a</t>
        </is>
      </c>
      <c r="H354" s="9" t="inlineStr"/>
      <c r="I354" s="12" t="inlineStr"/>
    </row>
    <row r="355">
      <c r="A355" s="13" t="n"/>
      <c r="B355" s="13" t="inlineStr">
        <is>
          <t>50</t>
        </is>
      </c>
      <c r="C355" s="14" t="inlineStr">
        <is>
          <t>TOTAL SELL</t>
        </is>
      </c>
      <c r="D355" s="15" t="n">
        <v>2289.83</v>
      </c>
      <c r="E355" s="15" t="n">
        <v>2142.17</v>
      </c>
      <c r="F355" s="15" t="n">
        <v>147.66</v>
      </c>
      <c r="G355" s="13" t="inlineStr">
        <is>
          <t>+7%</t>
        </is>
      </c>
      <c r="H355" s="17" t="inlineStr">
        <is>
          <t>PASS</t>
        </is>
      </c>
      <c r="I355" s="13" t="inlineStr"/>
    </row>
    <row r="357">
      <c r="A357" s="7" t="inlineStr">
        <is>
          <t>TR-10351 16x8.5x6 - SPOT RW-260720-133223 - iQuote #223701 - qty 100 - iQuote OptDesc: Option 1</t>
        </is>
      </c>
    </row>
    <row r="358">
      <c r="A358" s="8" t="inlineStr">
        <is>
          <t xml:space="preserve">    Resolution: only one option available</t>
        </is>
      </c>
    </row>
    <row r="359">
      <c r="A359" s="9" t="n"/>
      <c r="B359" s="9" t="inlineStr">
        <is>
          <t>100</t>
        </is>
      </c>
      <c r="C359" s="10" t="inlineStr">
        <is>
          <t>Material</t>
        </is>
      </c>
      <c r="D359" s="11" t="n">
        <v>507.92</v>
      </c>
      <c r="E359" s="11" t="n">
        <v>461.6979</v>
      </c>
      <c r="F359" s="11" t="n">
        <v>46.22</v>
      </c>
      <c r="G359" s="9" t="inlineStr">
        <is>
          <t>+10%</t>
        </is>
      </c>
      <c r="H359" s="9" t="inlineStr"/>
      <c r="I359" s="12" t="inlineStr"/>
    </row>
    <row r="360">
      <c r="A360" s="9" t="n"/>
      <c r="B360" s="9" t="n"/>
      <c r="C360" s="10" t="inlineStr">
        <is>
          <t>Print</t>
        </is>
      </c>
      <c r="D360" s="11" t="n">
        <v>854.25</v>
      </c>
      <c r="E360" s="11" t="n">
        <v>872.1181</v>
      </c>
      <c r="F360" s="11" t="n">
        <v>-17.87</v>
      </c>
      <c r="G360" s="9" t="inlineStr">
        <is>
          <t>-2%</t>
        </is>
      </c>
      <c r="H360" s="9" t="inlineStr"/>
      <c r="I360" s="12" t="inlineStr"/>
    </row>
    <row r="361">
      <c r="A361" s="9" t="n"/>
      <c r="B361" s="9" t="n"/>
      <c r="C361" s="10" t="inlineStr">
        <is>
          <t>Cutting</t>
        </is>
      </c>
      <c r="D361" s="11" t="n">
        <v>380.94</v>
      </c>
      <c r="E361" s="11" t="n">
        <v>399.625</v>
      </c>
      <c r="F361" s="11" t="n">
        <v>-18.69</v>
      </c>
      <c r="G361" s="9" t="inlineStr">
        <is>
          <t>-5%</t>
        </is>
      </c>
      <c r="H361" s="9" t="inlineStr"/>
      <c r="I361" s="12" t="inlineStr"/>
    </row>
    <row r="362">
      <c r="A362" s="9" t="n"/>
      <c r="B362" s="9" t="n"/>
      <c r="C362" s="10" t="inlineStr">
        <is>
          <t>Handwork</t>
        </is>
      </c>
      <c r="D362" s="11" t="n">
        <v>28.9</v>
      </c>
      <c r="E362" s="11" t="n">
        <v>0</v>
      </c>
      <c r="F362" s="11" t="n">
        <v>28.9</v>
      </c>
      <c r="G362" s="9" t="inlineStr">
        <is>
          <t>n/a</t>
        </is>
      </c>
      <c r="H362" s="9" t="inlineStr"/>
      <c r="I362" s="12" t="inlineStr"/>
    </row>
    <row r="363">
      <c r="A363" s="13" t="n"/>
      <c r="B363" s="13" t="inlineStr">
        <is>
          <t>100</t>
        </is>
      </c>
      <c r="C363" s="14" t="inlineStr">
        <is>
          <t>TOTAL SELL</t>
        </is>
      </c>
      <c r="D363" s="15" t="n">
        <v>3196.39</v>
      </c>
      <c r="E363" s="15" t="n">
        <v>3463.91</v>
      </c>
      <c r="F363" s="15" t="n">
        <v>-267.52</v>
      </c>
      <c r="G363" s="13" t="inlineStr">
        <is>
          <t>-8%</t>
        </is>
      </c>
      <c r="H363" s="17" t="inlineStr">
        <is>
          <t>PASS</t>
        </is>
      </c>
      <c r="I363" s="13" t="inlineStr"/>
    </row>
    <row r="365">
      <c r="A365" s="7" t="inlineStr">
        <is>
          <t>TR-10351 16x8.5x6 - SPOT RW-260720-133223 - iQuote #223701 - qty 200 - iQuote OptDesc: Option 1</t>
        </is>
      </c>
    </row>
    <row r="366">
      <c r="A366" s="8" t="inlineStr">
        <is>
          <t xml:space="preserve">    Resolution: only one option available</t>
        </is>
      </c>
    </row>
    <row r="367">
      <c r="A367" s="9" t="n"/>
      <c r="B367" s="9" t="inlineStr">
        <is>
          <t>200</t>
        </is>
      </c>
      <c r="C367" s="10" t="inlineStr">
        <is>
          <t>Material</t>
        </is>
      </c>
      <c r="D367" s="11" t="n">
        <v>901.53</v>
      </c>
      <c r="E367" s="11" t="n">
        <v>869.3674000000001</v>
      </c>
      <c r="F367" s="11" t="n">
        <v>32.16</v>
      </c>
      <c r="G367" s="9" t="inlineStr">
        <is>
          <t>+4%</t>
        </is>
      </c>
      <c r="H367" s="9" t="inlineStr"/>
      <c r="I367" s="12" t="inlineStr"/>
    </row>
    <row r="368">
      <c r="A368" s="9" t="n"/>
      <c r="B368" s="9" t="n"/>
      <c r="C368" s="10" t="inlineStr">
        <is>
          <t>Print</t>
        </is>
      </c>
      <c r="D368" s="11" t="n">
        <v>1519.11</v>
      </c>
      <c r="E368" s="11" t="n">
        <v>1489.8709</v>
      </c>
      <c r="F368" s="11" t="n">
        <v>29.24</v>
      </c>
      <c r="G368" s="9" t="inlineStr">
        <is>
          <t>+2%</t>
        </is>
      </c>
      <c r="H368" s="9" t="inlineStr"/>
      <c r="I368" s="12" t="inlineStr"/>
    </row>
    <row r="369">
      <c r="A369" s="9" t="n"/>
      <c r="B369" s="9" t="n"/>
      <c r="C369" s="10" t="inlineStr">
        <is>
          <t>Cutting</t>
        </is>
      </c>
      <c r="D369" s="11" t="n">
        <v>655.09</v>
      </c>
      <c r="E369" s="11" t="n">
        <v>730.25</v>
      </c>
      <c r="F369" s="11" t="n">
        <v>-75.16</v>
      </c>
      <c r="G369" s="9" t="inlineStr">
        <is>
          <t>-10%</t>
        </is>
      </c>
      <c r="H369" s="9" t="inlineStr"/>
      <c r="I369" s="12" t="inlineStr"/>
    </row>
    <row r="370">
      <c r="A370" s="9" t="n"/>
      <c r="B370" s="9" t="n"/>
      <c r="C370" s="10" t="inlineStr">
        <is>
          <t>Handwork</t>
        </is>
      </c>
      <c r="D370" s="11" t="n">
        <v>56.95</v>
      </c>
      <c r="E370" s="11" t="n">
        <v>0</v>
      </c>
      <c r="F370" s="11" t="n">
        <v>56.95</v>
      </c>
      <c r="G370" s="9" t="inlineStr">
        <is>
          <t>n/a</t>
        </is>
      </c>
      <c r="H370" s="9" t="inlineStr"/>
      <c r="I370" s="12" t="inlineStr"/>
    </row>
    <row r="371">
      <c r="A371" s="13" t="n"/>
      <c r="B371" s="13" t="inlineStr">
        <is>
          <t>200</t>
        </is>
      </c>
      <c r="C371" s="14" t="inlineStr">
        <is>
          <t>TOTAL SELL</t>
        </is>
      </c>
      <c r="D371" s="15" t="n">
        <v>4862.41</v>
      </c>
      <c r="E371" s="15" t="n">
        <v>5894.43</v>
      </c>
      <c r="F371" s="15" t="n">
        <v>-1032.02</v>
      </c>
      <c r="G371" s="13" t="inlineStr">
        <is>
          <t>-18%</t>
        </is>
      </c>
      <c r="H371" s="18" t="inlineStr">
        <is>
          <t>REVIEW</t>
        </is>
      </c>
      <c r="I371" s="13" t="inlineStr"/>
    </row>
    <row r="373">
      <c r="A373" s="7" t="inlineStr">
        <is>
          <t>TSC Holiday Iams Cat Mixed Full Pallet - SPOT RW-260720-083107 - iQuote #223752 - qty 600 - iQuote OptDesc: Option 1</t>
        </is>
      </c>
    </row>
    <row r="374">
      <c r="A374" s="8" t="inlineStr">
        <is>
          <t xml:space="preserve">    Resolution: only one option available</t>
        </is>
      </c>
    </row>
    <row r="375">
      <c r="A375" s="9" t="n"/>
      <c r="B375" s="9" t="inlineStr">
        <is>
          <t>600</t>
        </is>
      </c>
      <c r="C375" s="10" t="inlineStr">
        <is>
          <t>Material</t>
        </is>
      </c>
      <c r="D375" s="11" t="n">
        <v>704.1900000000001</v>
      </c>
      <c r="E375" s="11" t="n">
        <v>818.3416</v>
      </c>
      <c r="F375" s="11" t="n">
        <v>-114.15</v>
      </c>
      <c r="G375" s="9" t="inlineStr">
        <is>
          <t>-14%</t>
        </is>
      </c>
      <c r="H375" s="9" t="inlineStr"/>
      <c r="I375" s="12" t="inlineStr"/>
    </row>
    <row r="376">
      <c r="A376" s="9" t="n"/>
      <c r="B376" s="9" t="n"/>
      <c r="C376" s="10" t="inlineStr">
        <is>
          <t>Print</t>
        </is>
      </c>
      <c r="D376" s="11" t="n">
        <v>833.9</v>
      </c>
      <c r="E376" s="11" t="n">
        <v>598.9121</v>
      </c>
      <c r="F376" s="11" t="n">
        <v>234.99</v>
      </c>
      <c r="G376" s="9" t="inlineStr">
        <is>
          <t>+39%</t>
        </is>
      </c>
      <c r="H376" s="9" t="inlineStr"/>
      <c r="I376" s="12" t="inlineStr"/>
    </row>
    <row r="377">
      <c r="A377" s="9" t="n"/>
      <c r="B377" s="9" t="n"/>
      <c r="C377" s="10" t="inlineStr">
        <is>
          <t>Cutting</t>
        </is>
      </c>
      <c r="D377" s="11" t="n">
        <v>379.16</v>
      </c>
      <c r="E377" s="11" t="n">
        <v>425.5</v>
      </c>
      <c r="F377" s="11" t="n">
        <v>-46.34</v>
      </c>
      <c r="G377" s="9" t="inlineStr">
        <is>
          <t>-11%</t>
        </is>
      </c>
      <c r="H377" s="9" t="inlineStr"/>
      <c r="I377" s="12" t="inlineStr"/>
    </row>
    <row r="378">
      <c r="A378" s="9" t="n"/>
      <c r="B378" s="9" t="n"/>
      <c r="C378" s="10" t="inlineStr">
        <is>
          <t>Handwork</t>
        </is>
      </c>
      <c r="D378" s="11" t="n">
        <v>373.1</v>
      </c>
      <c r="E378" s="11" t="n">
        <v>0</v>
      </c>
      <c r="F378" s="11" t="n">
        <v>373.1</v>
      </c>
      <c r="G378" s="9" t="inlineStr">
        <is>
          <t>n/a</t>
        </is>
      </c>
      <c r="H378" s="9" t="inlineStr"/>
      <c r="I378" s="12" t="inlineStr"/>
    </row>
    <row r="379">
      <c r="A379" s="13" t="n"/>
      <c r="B379" s="13" t="inlineStr">
        <is>
          <t>600</t>
        </is>
      </c>
      <c r="C379" s="14" t="inlineStr">
        <is>
          <t>TOTAL SELL</t>
        </is>
      </c>
      <c r="D379" s="15" t="n">
        <v>3418.16</v>
      </c>
      <c r="E379" s="15" t="n">
        <v>2931.56</v>
      </c>
      <c r="F379" s="15" t="n">
        <v>486.6</v>
      </c>
      <c r="G379" s="13" t="inlineStr">
        <is>
          <t>+17%</t>
        </is>
      </c>
      <c r="H379" s="18" t="inlineStr">
        <is>
          <t>REVIEW</t>
        </is>
      </c>
      <c r="I379" s="13" t="inlineStr"/>
    </row>
    <row r="381">
      <c r="A381" s="7" t="inlineStr">
        <is>
          <t>Tank Holdings - 110 lb. Tow Spreader - SPOT RW-260731-133402 - iQuote #223855 - qty 85 - iQuote OptDesc: 275# DW BC-Flute</t>
        </is>
      </c>
    </row>
    <row r="382">
      <c r="A382" s="8" t="inlineStr">
        <is>
          <t xml:space="preserve">    Resolution: only one option available</t>
        </is>
      </c>
    </row>
    <row r="383">
      <c r="A383" s="9" t="n"/>
      <c r="B383" s="9" t="inlineStr">
        <is>
          <t>85</t>
        </is>
      </c>
      <c r="C383" s="10" t="inlineStr">
        <is>
          <t>Material</t>
        </is>
      </c>
      <c r="D383" s="11" t="n">
        <v>2871.3</v>
      </c>
      <c r="E383" s="11" t="n">
        <v>685.7</v>
      </c>
      <c r="F383" s="11" t="n">
        <v>2185.6</v>
      </c>
      <c r="G383" s="9" t="inlineStr">
        <is>
          <t>+319%</t>
        </is>
      </c>
      <c r="H383" s="9" t="inlineStr"/>
      <c r="I383" s="12" t="inlineStr"/>
    </row>
    <row r="384">
      <c r="A384" s="9" t="n"/>
      <c r="B384" s="9" t="n"/>
      <c r="C384" s="10" t="inlineStr">
        <is>
          <t>Print</t>
        </is>
      </c>
      <c r="D384" s="11" t="n">
        <v>762.46</v>
      </c>
      <c r="E384" s="11" t="n">
        <v>336.0757</v>
      </c>
      <c r="F384" s="11" t="n">
        <v>426.38</v>
      </c>
      <c r="G384" s="9" t="inlineStr">
        <is>
          <t>+127%</t>
        </is>
      </c>
      <c r="H384" s="9" t="inlineStr"/>
      <c r="I384" s="12" t="inlineStr"/>
    </row>
    <row r="385">
      <c r="A385" s="9" t="n"/>
      <c r="B385" s="9" t="n"/>
      <c r="C385" s="10" t="inlineStr">
        <is>
          <t>Cutting</t>
        </is>
      </c>
      <c r="D385" s="11" t="n">
        <v>318.9</v>
      </c>
      <c r="E385" s="11" t="n">
        <v>0</v>
      </c>
      <c r="F385" s="11" t="n">
        <v>318.9</v>
      </c>
      <c r="G385" s="9" t="inlineStr">
        <is>
          <t>n/a</t>
        </is>
      </c>
      <c r="H385" s="9" t="inlineStr"/>
      <c r="I385" s="12" t="inlineStr"/>
    </row>
    <row r="386">
      <c r="A386" s="9" t="n"/>
      <c r="B386" s="9" t="n"/>
      <c r="C386" s="10" t="inlineStr">
        <is>
          <t>Handwork</t>
        </is>
      </c>
      <c r="D386" s="11" t="n">
        <v>48.88</v>
      </c>
      <c r="E386" s="11" t="n">
        <v>0</v>
      </c>
      <c r="F386" s="11" t="n">
        <v>48.88</v>
      </c>
      <c r="G386" s="9" t="inlineStr">
        <is>
          <t>n/a</t>
        </is>
      </c>
      <c r="H386" s="9" t="inlineStr"/>
      <c r="I386" s="12" t="inlineStr"/>
    </row>
    <row r="387">
      <c r="A387" s="13" t="n"/>
      <c r="B387" s="13" t="inlineStr">
        <is>
          <t>85</t>
        </is>
      </c>
      <c r="C387" s="14" t="inlineStr">
        <is>
          <t>TOTAL SELL</t>
        </is>
      </c>
      <c r="D387" s="15" t="n">
        <v>5455.38</v>
      </c>
      <c r="E387" s="15" t="n">
        <v>1832.86</v>
      </c>
      <c r="F387" s="15" t="n">
        <v>3622.52</v>
      </c>
      <c r="G387" s="13" t="inlineStr">
        <is>
          <t>+198%</t>
        </is>
      </c>
      <c r="H387" s="16" t="inlineStr">
        <is>
          <t>FAIL</t>
        </is>
      </c>
      <c r="I387" s="13" t="inlineStr"/>
    </row>
    <row r="389">
      <c r="A389" s="7" t="inlineStr">
        <is>
          <t>Trad Favorites - SPOT RW-260720-112723 - iQuote #223707 - qty 1300 - iQuote OptDesc: Option 1</t>
        </is>
      </c>
    </row>
    <row r="390">
      <c r="A390" s="8" t="inlineStr">
        <is>
          <t xml:space="preserve">    Resolution: only one option available</t>
        </is>
      </c>
    </row>
    <row r="391">
      <c r="A391" s="9" t="n"/>
      <c r="B391" s="9" t="inlineStr">
        <is>
          <t>1300</t>
        </is>
      </c>
      <c r="C391" s="10" t="inlineStr">
        <is>
          <t>Material</t>
        </is>
      </c>
      <c r="D391" s="11" t="n">
        <v>847.13</v>
      </c>
      <c r="E391" s="11" t="n">
        <v>1291.7718</v>
      </c>
      <c r="F391" s="11" t="n">
        <v>-444.64</v>
      </c>
      <c r="G391" s="9" t="inlineStr">
        <is>
          <t>-34%</t>
        </is>
      </c>
      <c r="H391" s="9" t="inlineStr"/>
      <c r="I391" s="12" t="inlineStr"/>
    </row>
    <row r="392">
      <c r="A392" s="9" t="n"/>
      <c r="B392" s="9" t="n"/>
      <c r="C392" s="10" t="inlineStr">
        <is>
          <t>Print</t>
        </is>
      </c>
      <c r="D392" s="11" t="n">
        <v>922.29</v>
      </c>
      <c r="E392" s="11" t="n">
        <v>1195.457</v>
      </c>
      <c r="F392" s="11" t="n">
        <v>-273.17</v>
      </c>
      <c r="G392" s="9" t="inlineStr">
        <is>
          <t>-23%</t>
        </is>
      </c>
      <c r="H392" s="9" t="inlineStr"/>
      <c r="I392" s="12" t="inlineStr"/>
    </row>
    <row r="393">
      <c r="A393" s="9" t="n"/>
      <c r="B393" s="9" t="n"/>
      <c r="C393" s="10" t="inlineStr">
        <is>
          <t>Cutting</t>
        </is>
      </c>
      <c r="D393" s="11" t="n">
        <v>787.74</v>
      </c>
      <c r="E393" s="11" t="n">
        <v>906.5833</v>
      </c>
      <c r="F393" s="11" t="n">
        <v>-118.84</v>
      </c>
      <c r="G393" s="9" t="inlineStr">
        <is>
          <t>-13%</t>
        </is>
      </c>
      <c r="H393" s="9" t="inlineStr"/>
      <c r="I393" s="12" t="inlineStr"/>
    </row>
    <row r="394">
      <c r="A394" s="9" t="n"/>
      <c r="B394" s="9" t="n"/>
      <c r="C394" s="10" t="inlineStr">
        <is>
          <t>Handwork</t>
        </is>
      </c>
      <c r="D394" s="11" t="n">
        <v>79.05</v>
      </c>
      <c r="E394" s="11" t="n">
        <v>0</v>
      </c>
      <c r="F394" s="11" t="n">
        <v>79.05</v>
      </c>
      <c r="G394" s="9" t="inlineStr">
        <is>
          <t>n/a</t>
        </is>
      </c>
      <c r="H394" s="9" t="inlineStr"/>
      <c r="I394" s="12" t="inlineStr"/>
    </row>
    <row r="395">
      <c r="A395" s="13" t="n"/>
      <c r="B395" s="13" t="inlineStr">
        <is>
          <t>1300</t>
        </is>
      </c>
      <c r="C395" s="14" t="inlineStr">
        <is>
          <t>TOTAL SELL</t>
        </is>
      </c>
      <c r="D395" s="15" t="n">
        <v>3661.24</v>
      </c>
      <c r="E395" s="15" t="n">
        <v>5528.87</v>
      </c>
      <c r="F395" s="15" t="n">
        <v>-1867.63</v>
      </c>
      <c r="G395" s="13" t="inlineStr">
        <is>
          <t>-34%</t>
        </is>
      </c>
      <c r="H395" s="16" t="inlineStr">
        <is>
          <t>FAIL</t>
        </is>
      </c>
      <c r="I395" s="13" t="inlineStr"/>
    </row>
    <row r="397">
      <c r="A397" s="7" t="inlineStr">
        <is>
          <t>Vitamix 154042 POP - 2pc / 154727 - SPOT RW-260720-132349 - iQuote #223702 - qty 250 - iQuote OptDesc: Die</t>
        </is>
      </c>
    </row>
    <row r="398">
      <c r="A398" s="8" t="inlineStr">
        <is>
          <t xml:space="preserve">    Resolution: only one option available</t>
        </is>
      </c>
    </row>
    <row r="399">
      <c r="A399" s="9" t="n"/>
      <c r="B399" s="9" t="inlineStr">
        <is>
          <t>250</t>
        </is>
      </c>
      <c r="C399" s="10" t="inlineStr">
        <is>
          <t>Material</t>
        </is>
      </c>
      <c r="D399" s="11" t="n">
        <v>1937.46</v>
      </c>
      <c r="E399" s="11" t="n">
        <v>1909.366</v>
      </c>
      <c r="F399" s="11" t="n">
        <v>28.09</v>
      </c>
      <c r="G399" s="9" t="inlineStr">
        <is>
          <t>+2%</t>
        </is>
      </c>
      <c r="H399" s="9" t="inlineStr"/>
      <c r="I399" s="12" t="inlineStr"/>
    </row>
    <row r="400">
      <c r="A400" s="9" t="n"/>
      <c r="B400" s="9" t="n"/>
      <c r="C400" s="10" t="inlineStr">
        <is>
          <t>Print</t>
        </is>
      </c>
      <c r="D400" s="11" t="n">
        <v>2385.14</v>
      </c>
      <c r="E400" s="11" t="n">
        <v>1559.1292</v>
      </c>
      <c r="F400" s="11" t="n">
        <v>826.01</v>
      </c>
      <c r="G400" s="9" t="inlineStr">
        <is>
          <t>+53%</t>
        </is>
      </c>
      <c r="H400" s="9" t="inlineStr"/>
      <c r="I400" s="12" t="inlineStr"/>
    </row>
    <row r="401">
      <c r="A401" s="9" t="n"/>
      <c r="B401" s="9" t="n"/>
      <c r="C401" s="10" t="inlineStr">
        <is>
          <t>Cutting</t>
        </is>
      </c>
      <c r="D401" s="11" t="n">
        <v>604.84</v>
      </c>
      <c r="E401" s="11" t="n">
        <v>635.6266000000001</v>
      </c>
      <c r="F401" s="11" t="n">
        <v>-30.79</v>
      </c>
      <c r="G401" s="9" t="inlineStr">
        <is>
          <t>-5%</t>
        </is>
      </c>
      <c r="H401" s="9" t="inlineStr"/>
      <c r="I401" s="12" t="inlineStr"/>
    </row>
    <row r="402">
      <c r="A402" s="9" t="n"/>
      <c r="B402" s="9" t="n"/>
      <c r="C402" s="10" t="inlineStr">
        <is>
          <t>Handwork</t>
        </is>
      </c>
      <c r="D402" s="11" t="n">
        <v>500</v>
      </c>
      <c r="E402" s="11" t="n">
        <v>400.6222</v>
      </c>
      <c r="F402" s="11" t="n">
        <v>99.38</v>
      </c>
      <c r="G402" s="9" t="inlineStr">
        <is>
          <t>+25%</t>
        </is>
      </c>
      <c r="H402" s="9" t="inlineStr"/>
      <c r="I402" s="12" t="inlineStr"/>
    </row>
    <row r="403">
      <c r="A403" s="9" t="n"/>
      <c r="B403" s="9" t="n"/>
      <c r="C403" s="10" t="inlineStr">
        <is>
          <t>Die</t>
        </is>
      </c>
      <c r="D403" s="11" t="n">
        <v>2760</v>
      </c>
      <c r="E403" s="9" t="n"/>
      <c r="F403" s="9" t="n"/>
      <c r="G403" s="9" t="inlineStr">
        <is>
          <t>n/a</t>
        </is>
      </c>
      <c r="H403" s="9" t="inlineStr"/>
      <c r="I403" s="12" t="inlineStr">
        <is>
          <t>iQuote export does not include die cost</t>
        </is>
      </c>
    </row>
    <row r="404">
      <c r="A404" s="13" t="n"/>
      <c r="B404" s="13" t="inlineStr">
        <is>
          <t>250</t>
        </is>
      </c>
      <c r="C404" s="14" t="inlineStr">
        <is>
          <t>TOTAL SELL</t>
        </is>
      </c>
      <c r="D404" s="15" t="n">
        <v>7534.84</v>
      </c>
      <c r="E404" s="15" t="n">
        <v>9166.92</v>
      </c>
      <c r="F404" s="15" t="n">
        <v>-1632.08</v>
      </c>
      <c r="G404" s="13" t="inlineStr">
        <is>
          <t>-18%</t>
        </is>
      </c>
      <c r="H404" s="18" t="inlineStr">
        <is>
          <t>REVIEW</t>
        </is>
      </c>
      <c r="I404" s="13" t="inlineStr"/>
    </row>
    <row r="406">
      <c r="A406" s="7" t="inlineStr">
        <is>
          <t>Vitamix 154042 POP - 2pc / 154727 - SPOT RW-260720-132349 - iQuote #223702 - qty 500 - iQuote OptDesc: Die</t>
        </is>
      </c>
    </row>
    <row r="407">
      <c r="A407" s="8" t="inlineStr">
        <is>
          <t xml:space="preserve">    Resolution: only one option available</t>
        </is>
      </c>
    </row>
    <row r="408">
      <c r="A408" s="9" t="n"/>
      <c r="B408" s="9" t="inlineStr">
        <is>
          <t>500</t>
        </is>
      </c>
      <c r="C408" s="10" t="inlineStr">
        <is>
          <t>Material</t>
        </is>
      </c>
      <c r="D408" s="11" t="n">
        <v>3682.02</v>
      </c>
      <c r="E408" s="11" t="n">
        <v>3761.736</v>
      </c>
      <c r="F408" s="11" t="n">
        <v>-79.72</v>
      </c>
      <c r="G408" s="9" t="inlineStr">
        <is>
          <t>-2%</t>
        </is>
      </c>
      <c r="H408" s="9" t="inlineStr"/>
      <c r="I408" s="12" t="inlineStr"/>
    </row>
    <row r="409">
      <c r="A409" s="9" t="n"/>
      <c r="B409" s="9" t="n"/>
      <c r="C409" s="10" t="inlineStr">
        <is>
          <t>Print</t>
        </is>
      </c>
      <c r="D409" s="11" t="n">
        <v>4662.66</v>
      </c>
      <c r="E409" s="11" t="n">
        <v>2980.695</v>
      </c>
      <c r="F409" s="11" t="n">
        <v>1681.96</v>
      </c>
      <c r="G409" s="9" t="inlineStr">
        <is>
          <t>+56%</t>
        </is>
      </c>
      <c r="H409" s="9" t="inlineStr"/>
      <c r="I409" s="12" t="inlineStr"/>
    </row>
    <row r="410">
      <c r="A410" s="9" t="n"/>
      <c r="B410" s="9" t="n"/>
      <c r="C410" s="10" t="inlineStr">
        <is>
          <t>Cutting</t>
        </is>
      </c>
      <c r="D410" s="11" t="n">
        <v>923.16</v>
      </c>
      <c r="E410" s="11" t="n">
        <v>863.6622</v>
      </c>
      <c r="F410" s="11" t="n">
        <v>59.5</v>
      </c>
      <c r="G410" s="9" t="inlineStr">
        <is>
          <t>+7%</t>
        </is>
      </c>
      <c r="H410" s="9" t="inlineStr"/>
      <c r="I410" s="12" t="inlineStr"/>
    </row>
    <row r="411">
      <c r="A411" s="9" t="n"/>
      <c r="B411" s="9" t="n"/>
      <c r="C411" s="10" t="inlineStr">
        <is>
          <t>Handwork</t>
        </is>
      </c>
      <c r="D411" s="11" t="n">
        <v>1000</v>
      </c>
      <c r="E411" s="11" t="n">
        <v>755.2021999999999</v>
      </c>
      <c r="F411" s="11" t="n">
        <v>244.8</v>
      </c>
      <c r="G411" s="9" t="inlineStr">
        <is>
          <t>+32%</t>
        </is>
      </c>
      <c r="H411" s="9" t="inlineStr"/>
      <c r="I411" s="12" t="inlineStr"/>
    </row>
    <row r="412">
      <c r="A412" s="9" t="n"/>
      <c r="B412" s="9" t="n"/>
      <c r="C412" s="10" t="inlineStr">
        <is>
          <t>Die</t>
        </is>
      </c>
      <c r="D412" s="11" t="n">
        <v>2760</v>
      </c>
      <c r="E412" s="9" t="n"/>
      <c r="F412" s="9" t="n"/>
      <c r="G412" s="9" t="inlineStr">
        <is>
          <t>n/a</t>
        </is>
      </c>
      <c r="H412" s="9" t="inlineStr"/>
      <c r="I412" s="12" t="inlineStr">
        <is>
          <t>iQuote export does not include die cost</t>
        </is>
      </c>
    </row>
    <row r="413">
      <c r="A413" s="13" t="n"/>
      <c r="B413" s="13" t="inlineStr">
        <is>
          <t>500</t>
        </is>
      </c>
      <c r="C413" s="14" t="inlineStr">
        <is>
          <t>TOTAL SELL</t>
        </is>
      </c>
      <c r="D413" s="15" t="n">
        <v>13790.46</v>
      </c>
      <c r="E413" s="15" t="n">
        <v>14908.08</v>
      </c>
      <c r="F413" s="15" t="n">
        <v>-1117.62</v>
      </c>
      <c r="G413" s="13" t="inlineStr">
        <is>
          <t>-8%</t>
        </is>
      </c>
      <c r="H413" s="17" t="inlineStr">
        <is>
          <t>PASS</t>
        </is>
      </c>
      <c r="I413" s="13" t="inlineStr"/>
    </row>
    <row r="415">
      <c r="A415" s="7" t="inlineStr">
        <is>
          <t>Vitamix digital pricing for orders - SPOT RW-260722-082345 - iQuote #223591 - qty 250 - BECAME A JOB - iQuote OptDesc: Die Cut - for production purposes</t>
        </is>
      </c>
    </row>
    <row r="416">
      <c r="A416" s="8" t="inlineStr">
        <is>
          <t xml:space="preserve">    Resolution: only one option available</t>
        </is>
      </c>
    </row>
    <row r="417">
      <c r="A417" s="9" t="n"/>
      <c r="B417" s="9" t="inlineStr">
        <is>
          <t>250</t>
        </is>
      </c>
      <c r="C417" s="10" t="inlineStr">
        <is>
          <t>Material</t>
        </is>
      </c>
      <c r="D417" s="11" t="n">
        <v>1841.01</v>
      </c>
      <c r="E417" s="11" t="n">
        <v>1880.868</v>
      </c>
      <c r="F417" s="11" t="n">
        <v>-39.86</v>
      </c>
      <c r="G417" s="9" t="inlineStr">
        <is>
          <t>-2%</t>
        </is>
      </c>
      <c r="H417" s="9" t="inlineStr"/>
      <c r="I417" s="12" t="inlineStr"/>
    </row>
    <row r="418">
      <c r="A418" s="9" t="n"/>
      <c r="B418" s="9" t="n"/>
      <c r="C418" s="10" t="inlineStr">
        <is>
          <t>Print</t>
        </is>
      </c>
      <c r="D418" s="11" t="n">
        <v>2331.33</v>
      </c>
      <c r="E418" s="11" t="n">
        <v>1225.8253</v>
      </c>
      <c r="F418" s="11" t="n">
        <v>1105.5</v>
      </c>
      <c r="G418" s="9" t="inlineStr">
        <is>
          <t>+90%</t>
        </is>
      </c>
      <c r="H418" s="9" t="inlineStr"/>
      <c r="I418" s="12" t="inlineStr"/>
    </row>
    <row r="419">
      <c r="A419" s="9" t="n"/>
      <c r="B419" s="9" t="n"/>
      <c r="C419" s="10" t="inlineStr">
        <is>
          <t>Cutting</t>
        </is>
      </c>
      <c r="D419" s="11" t="n">
        <v>461.58</v>
      </c>
      <c r="E419" s="11" t="n">
        <v>431.8311</v>
      </c>
      <c r="F419" s="11" t="n">
        <v>29.75</v>
      </c>
      <c r="G419" s="9" t="inlineStr">
        <is>
          <t>+7%</t>
        </is>
      </c>
      <c r="H419" s="9" t="inlineStr"/>
      <c r="I419" s="12" t="inlineStr"/>
    </row>
    <row r="420">
      <c r="A420" s="9" t="n"/>
      <c r="B420" s="9" t="n"/>
      <c r="C420" s="10" t="inlineStr">
        <is>
          <t>Handwork</t>
        </is>
      </c>
      <c r="D420" s="11" t="n">
        <v>356.25</v>
      </c>
      <c r="E420" s="11" t="n">
        <v>189.802</v>
      </c>
      <c r="F420" s="11" t="n">
        <v>166.45</v>
      </c>
      <c r="G420" s="9" t="inlineStr">
        <is>
          <t>+88%</t>
        </is>
      </c>
      <c r="H420" s="9" t="inlineStr"/>
      <c r="I420" s="12" t="inlineStr"/>
    </row>
    <row r="421">
      <c r="A421" s="9" t="n"/>
      <c r="B421" s="9" t="n"/>
      <c r="C421" s="10" t="inlineStr">
        <is>
          <t>Die</t>
        </is>
      </c>
      <c r="D421" s="11" t="n">
        <v>1380</v>
      </c>
      <c r="E421" s="9" t="n"/>
      <c r="F421" s="9" t="n"/>
      <c r="G421" s="9" t="inlineStr">
        <is>
          <t>n/a</t>
        </is>
      </c>
      <c r="H421" s="9" t="inlineStr"/>
      <c r="I421" s="12" t="inlineStr">
        <is>
          <t>iQuote export does not include die cost</t>
        </is>
      </c>
    </row>
    <row r="422">
      <c r="A422" s="13" t="n"/>
      <c r="B422" s="13" t="inlineStr">
        <is>
          <t>250</t>
        </is>
      </c>
      <c r="C422" s="14" t="inlineStr">
        <is>
          <t>TOTAL SELL</t>
        </is>
      </c>
      <c r="D422" s="15" t="n">
        <v>6773.57</v>
      </c>
      <c r="E422" s="15" t="n">
        <v>6549.08</v>
      </c>
      <c r="F422" s="15" t="n">
        <v>224.49</v>
      </c>
      <c r="G422" s="13" t="inlineStr">
        <is>
          <t>+3%</t>
        </is>
      </c>
      <c r="H422" s="17" t="inlineStr">
        <is>
          <t>PASS</t>
        </is>
      </c>
      <c r="I422" s="13" t="inlineStr"/>
    </row>
    <row r="424">
      <c r="A424" s="7" t="inlineStr">
        <is>
          <t>Vitamix digital pricing for orders - SPOT RW-260722-082345 - iQuote #223591 - qty 300 - BECAME A JOB - iQuote OptDesc: Die Cut - for production purposes</t>
        </is>
      </c>
    </row>
    <row r="425">
      <c r="A425" s="8" t="inlineStr">
        <is>
          <t xml:space="preserve">    Resolution: only one option available</t>
        </is>
      </c>
    </row>
    <row r="426">
      <c r="A426" s="9" t="n"/>
      <c r="B426" s="9" t="inlineStr">
        <is>
          <t>300</t>
        </is>
      </c>
      <c r="C426" s="10" t="inlineStr">
        <is>
          <t>Material</t>
        </is>
      </c>
      <c r="D426" s="11" t="n">
        <v>2202.13</v>
      </c>
      <c r="E426" s="11" t="n">
        <v>2251.342</v>
      </c>
      <c r="F426" s="11" t="n">
        <v>-49.21</v>
      </c>
      <c r="G426" s="9" t="inlineStr">
        <is>
          <t>-2%</t>
        </is>
      </c>
      <c r="H426" s="9" t="inlineStr"/>
      <c r="I426" s="12" t="inlineStr"/>
    </row>
    <row r="427">
      <c r="A427" s="9" t="n"/>
      <c r="B427" s="9" t="n"/>
      <c r="C427" s="10" t="inlineStr">
        <is>
          <t>Print</t>
        </is>
      </c>
      <c r="D427" s="11" t="n">
        <v>2788.63</v>
      </c>
      <c r="E427" s="11" t="n">
        <v>1458.0355</v>
      </c>
      <c r="F427" s="11" t="n">
        <v>1330.59</v>
      </c>
      <c r="G427" s="9" t="inlineStr">
        <is>
          <t>+91%</t>
        </is>
      </c>
      <c r="H427" s="9" t="inlineStr"/>
      <c r="I427" s="12" t="inlineStr"/>
    </row>
    <row r="428">
      <c r="A428" s="9" t="n"/>
      <c r="B428" s="9" t="n"/>
      <c r="C428" s="10" t="inlineStr">
        <is>
          <t>Cutting</t>
        </is>
      </c>
      <c r="D428" s="11" t="n">
        <v>525.25</v>
      </c>
      <c r="E428" s="11" t="n">
        <v>477.6177</v>
      </c>
      <c r="F428" s="11" t="n">
        <v>47.63</v>
      </c>
      <c r="G428" s="9" t="inlineStr">
        <is>
          <t>+10%</t>
        </is>
      </c>
      <c r="H428" s="9" t="inlineStr"/>
      <c r="I428" s="12" t="inlineStr"/>
    </row>
    <row r="429">
      <c r="A429" s="9" t="n"/>
      <c r="B429" s="9" t="n"/>
      <c r="C429" s="10" t="inlineStr">
        <is>
          <t>Handwork</t>
        </is>
      </c>
      <c r="D429" s="11" t="n">
        <v>427.5</v>
      </c>
      <c r="E429" s="11" t="n">
        <v>223.3803</v>
      </c>
      <c r="F429" s="11" t="n">
        <v>204.12</v>
      </c>
      <c r="G429" s="9" t="inlineStr">
        <is>
          <t>+91%</t>
        </is>
      </c>
      <c r="H429" s="9" t="inlineStr"/>
      <c r="I429" s="12" t="inlineStr"/>
    </row>
    <row r="430">
      <c r="A430" s="9" t="n"/>
      <c r="B430" s="9" t="n"/>
      <c r="C430" s="10" t="inlineStr">
        <is>
          <t>Die</t>
        </is>
      </c>
      <c r="D430" s="11" t="n">
        <v>1380</v>
      </c>
      <c r="E430" s="9" t="n"/>
      <c r="F430" s="9" t="n"/>
      <c r="G430" s="9" t="inlineStr">
        <is>
          <t>n/a</t>
        </is>
      </c>
      <c r="H430" s="9" t="inlineStr"/>
      <c r="I430" s="12" t="inlineStr">
        <is>
          <t>iQuote export does not include die cost</t>
        </is>
      </c>
    </row>
    <row r="431">
      <c r="A431" s="13" t="n"/>
      <c r="B431" s="13" t="inlineStr">
        <is>
          <t>300</t>
        </is>
      </c>
      <c r="C431" s="14" t="inlineStr">
        <is>
          <t>TOTAL SELL</t>
        </is>
      </c>
      <c r="D431" s="15" t="n">
        <v>8044.68</v>
      </c>
      <c r="E431" s="15" t="n">
        <v>7577.35</v>
      </c>
      <c r="F431" s="15" t="n">
        <v>467.33</v>
      </c>
      <c r="G431" s="13" t="inlineStr">
        <is>
          <t>+6%</t>
        </is>
      </c>
      <c r="H431" s="17" t="inlineStr">
        <is>
          <t>PASS</t>
        </is>
      </c>
      <c r="I431" s="13" t="inlineStr"/>
    </row>
    <row r="433">
      <c r="A433" s="7" t="inlineStr">
        <is>
          <t>Walmart Sidekick Display - Lubrication Specialties (Hot Shot's Secret) - SPOT RW-260731-113050 - iQuote #223878 - qty 250 - iQuote OptDesc: Option 1</t>
        </is>
      </c>
    </row>
    <row r="434">
      <c r="A434" s="8" t="inlineStr">
        <is>
          <t xml:space="preserve">    Resolution: only one option available</t>
        </is>
      </c>
    </row>
    <row r="435">
      <c r="A435" s="9" t="n"/>
      <c r="B435" s="9" t="inlineStr">
        <is>
          <t>250</t>
        </is>
      </c>
      <c r="C435" s="10" t="inlineStr">
        <is>
          <t>Material</t>
        </is>
      </c>
      <c r="D435" s="11" t="n">
        <v>332.25</v>
      </c>
      <c r="E435" s="11" t="n">
        <v>330.836</v>
      </c>
      <c r="F435" s="11" t="n">
        <v>1.41</v>
      </c>
      <c r="G435" s="9" t="inlineStr">
        <is>
          <t>+0%</t>
        </is>
      </c>
      <c r="H435" s="9" t="inlineStr"/>
      <c r="I435" s="12" t="inlineStr"/>
    </row>
    <row r="436">
      <c r="A436" s="9" t="n"/>
      <c r="B436" s="9" t="n"/>
      <c r="C436" s="10" t="inlineStr">
        <is>
          <t>Print</t>
        </is>
      </c>
      <c r="D436" s="11" t="n">
        <v>430.4</v>
      </c>
      <c r="E436" s="11" t="n">
        <v>264.7304</v>
      </c>
      <c r="F436" s="11" t="n">
        <v>165.67</v>
      </c>
      <c r="G436" s="9" t="inlineStr">
        <is>
          <t>+63%</t>
        </is>
      </c>
      <c r="H436" s="9" t="inlineStr"/>
      <c r="I436" s="12" t="inlineStr"/>
    </row>
    <row r="437">
      <c r="A437" s="9" t="n"/>
      <c r="B437" s="9" t="n"/>
      <c r="C437" s="10" t="inlineStr">
        <is>
          <t>Cutting</t>
        </is>
      </c>
      <c r="D437" s="11" t="n">
        <v>163.93</v>
      </c>
      <c r="E437" s="11" t="n">
        <v>58.4583</v>
      </c>
      <c r="F437" s="11" t="n">
        <v>105.47</v>
      </c>
      <c r="G437" s="9" t="inlineStr">
        <is>
          <t>+180%</t>
        </is>
      </c>
      <c r="H437" s="9" t="inlineStr"/>
      <c r="I437" s="12" t="inlineStr"/>
    </row>
    <row r="438">
      <c r="A438" s="9" t="n"/>
      <c r="B438" s="9" t="n"/>
      <c r="C438" s="10" t="inlineStr">
        <is>
          <t>Handwork</t>
        </is>
      </c>
      <c r="D438" s="11" t="n">
        <v>0</v>
      </c>
      <c r="E438" s="11" t="n">
        <v>0</v>
      </c>
      <c r="F438" s="11" t="n">
        <v>0</v>
      </c>
      <c r="G438" s="9" t="inlineStr">
        <is>
          <t>n/a</t>
        </is>
      </c>
      <c r="H438" s="9" t="inlineStr"/>
      <c r="I438" s="12" t="inlineStr"/>
    </row>
    <row r="439">
      <c r="A439" s="13" t="n"/>
      <c r="B439" s="13" t="inlineStr">
        <is>
          <t>250</t>
        </is>
      </c>
      <c r="C439" s="14" t="inlineStr">
        <is>
          <t>TOTAL SELL</t>
        </is>
      </c>
      <c r="D439" s="15" t="n">
        <v>1520.76</v>
      </c>
      <c r="E439" s="15" t="n">
        <v>1156.94</v>
      </c>
      <c r="F439" s="15" t="n">
        <v>363.82</v>
      </c>
      <c r="G439" s="13" t="inlineStr">
        <is>
          <t>+31%</t>
        </is>
      </c>
      <c r="H439" s="16" t="inlineStr">
        <is>
          <t>FAIL</t>
        </is>
      </c>
      <c r="I439" s="13" t="inlineStr"/>
    </row>
    <row r="441">
      <c r="A441" s="7" t="inlineStr">
        <is>
          <t>Walmart Sidekick Display - Lubrication Specialties (Hot Shot's Secret) - SPOT RW-260731-113050 - iQuote #223878 - qty 500 - iQuote OptDesc: Option 1</t>
        </is>
      </c>
    </row>
    <row r="442">
      <c r="A442" s="8" t="inlineStr">
        <is>
          <t xml:space="preserve">    Resolution: only one option available</t>
        </is>
      </c>
    </row>
    <row r="443">
      <c r="A443" s="9" t="n"/>
      <c r="B443" s="9" t="inlineStr">
        <is>
          <t>500</t>
        </is>
      </c>
      <c r="C443" s="10" t="inlineStr">
        <is>
          <t>Material</t>
        </is>
      </c>
      <c r="D443" s="11" t="n">
        <v>629.8900000000001</v>
      </c>
      <c r="E443" s="11" t="n">
        <v>646.634</v>
      </c>
      <c r="F443" s="11" t="n">
        <v>-16.74</v>
      </c>
      <c r="G443" s="9" t="inlineStr">
        <is>
          <t>-3%</t>
        </is>
      </c>
      <c r="H443" s="9" t="inlineStr"/>
      <c r="I443" s="12" t="inlineStr"/>
    </row>
    <row r="444">
      <c r="A444" s="9" t="n"/>
      <c r="B444" s="9" t="n"/>
      <c r="C444" s="10" t="inlineStr">
        <is>
          <t>Print</t>
        </is>
      </c>
      <c r="D444" s="11" t="n">
        <v>815.97</v>
      </c>
      <c r="E444" s="11" t="n">
        <v>470.9064</v>
      </c>
      <c r="F444" s="11" t="n">
        <v>345.06</v>
      </c>
      <c r="G444" s="9" t="inlineStr">
        <is>
          <t>+73%</t>
        </is>
      </c>
      <c r="H444" s="9" t="inlineStr"/>
      <c r="I444" s="12" t="inlineStr"/>
    </row>
    <row r="445">
      <c r="A445" s="9" t="n"/>
      <c r="B445" s="9" t="n"/>
      <c r="C445" s="10" t="inlineStr">
        <is>
          <t>Cutting</t>
        </is>
      </c>
      <c r="D445" s="11" t="n">
        <v>281.85</v>
      </c>
      <c r="E445" s="11" t="n">
        <v>82.41670000000001</v>
      </c>
      <c r="F445" s="11" t="n">
        <v>199.43</v>
      </c>
      <c r="G445" s="9" t="inlineStr">
        <is>
          <t>+242%</t>
        </is>
      </c>
      <c r="H445" s="9" t="inlineStr"/>
      <c r="I445" s="12" t="inlineStr"/>
    </row>
    <row r="446">
      <c r="A446" s="9" t="n"/>
      <c r="B446" s="9" t="n"/>
      <c r="C446" s="10" t="inlineStr">
        <is>
          <t>Handwork</t>
        </is>
      </c>
      <c r="D446" s="11" t="n">
        <v>0</v>
      </c>
      <c r="E446" s="11" t="n">
        <v>0</v>
      </c>
      <c r="F446" s="11" t="n">
        <v>0</v>
      </c>
      <c r="G446" s="9" t="inlineStr">
        <is>
          <t>n/a</t>
        </is>
      </c>
      <c r="H446" s="9" t="inlineStr"/>
      <c r="I446" s="12" t="inlineStr"/>
    </row>
    <row r="447">
      <c r="A447" s="13" t="n"/>
      <c r="B447" s="13" t="inlineStr">
        <is>
          <t>500</t>
        </is>
      </c>
      <c r="C447" s="14" t="inlineStr">
        <is>
          <t>TOTAL SELL</t>
        </is>
      </c>
      <c r="D447" s="15" t="n">
        <v>2590.76</v>
      </c>
      <c r="E447" s="15" t="n">
        <v>1979.54</v>
      </c>
      <c r="F447" s="15" t="n">
        <v>611.22</v>
      </c>
      <c r="G447" s="13" t="inlineStr">
        <is>
          <t>+31%</t>
        </is>
      </c>
      <c r="H447" s="16" t="inlineStr">
        <is>
          <t>FAIL</t>
        </is>
      </c>
      <c r="I447" s="13" t="inlineStr"/>
    </row>
    <row r="449">
      <c r="A449" s="7" t="inlineStr">
        <is>
          <t>Walmart Sidekick Display - Lubrication Specialties (Hot Shot's Secret) - SPOT RW-260731-113050 - iQuote #223878 - qty 1000 - iQuote OptDesc: Option 1</t>
        </is>
      </c>
    </row>
    <row r="450">
      <c r="A450" s="8" t="inlineStr">
        <is>
          <t xml:space="preserve">    Resolution: only one option available</t>
        </is>
      </c>
    </row>
    <row r="451">
      <c r="A451" s="9" t="n"/>
      <c r="B451" s="9" t="inlineStr">
        <is>
          <t>1000</t>
        </is>
      </c>
      <c r="C451" s="10" t="inlineStr">
        <is>
          <t>Material</t>
        </is>
      </c>
      <c r="D451" s="11" t="n">
        <v>124.33</v>
      </c>
      <c r="E451" s="11" t="n">
        <v>110.9005</v>
      </c>
      <c r="F451" s="11" t="n">
        <v>13.43</v>
      </c>
      <c r="G451" s="9" t="inlineStr">
        <is>
          <t>+12%</t>
        </is>
      </c>
      <c r="H451" s="9" t="inlineStr"/>
      <c r="I451" s="12" t="inlineStr"/>
    </row>
    <row r="452">
      <c r="A452" s="9" t="n"/>
      <c r="B452" s="9" t="n"/>
      <c r="C452" s="10" t="inlineStr">
        <is>
          <t>Print</t>
        </is>
      </c>
      <c r="D452" s="11" t="n">
        <v>156.79</v>
      </c>
      <c r="E452" s="11" t="n">
        <v>142.8261</v>
      </c>
      <c r="F452" s="11" t="n">
        <v>13.96</v>
      </c>
      <c r="G452" s="9" t="inlineStr">
        <is>
          <t>+10%</t>
        </is>
      </c>
      <c r="H452" s="9" t="inlineStr"/>
      <c r="I452" s="12" t="inlineStr"/>
    </row>
    <row r="453">
      <c r="A453" s="9" t="n"/>
      <c r="B453" s="9" t="n"/>
      <c r="C453" s="10" t="inlineStr">
        <is>
          <t>Cutting</t>
        </is>
      </c>
      <c r="D453" s="11" t="n">
        <v>226.48</v>
      </c>
      <c r="E453" s="11" t="n">
        <v>234.0682</v>
      </c>
      <c r="F453" s="11" t="n">
        <v>-7.59</v>
      </c>
      <c r="G453" s="9" t="inlineStr">
        <is>
          <t>-3%</t>
        </is>
      </c>
      <c r="H453" s="9" t="inlineStr"/>
      <c r="I453" s="12" t="inlineStr"/>
    </row>
    <row r="454">
      <c r="A454" s="9" t="n"/>
      <c r="B454" s="9" t="n"/>
      <c r="C454" s="10" t="inlineStr">
        <is>
          <t>Handwork</t>
        </is>
      </c>
      <c r="D454" s="11" t="n">
        <v>0</v>
      </c>
      <c r="E454" s="11" t="n">
        <v>0</v>
      </c>
      <c r="F454" s="11" t="n">
        <v>0</v>
      </c>
      <c r="G454" s="9" t="inlineStr">
        <is>
          <t>n/a</t>
        </is>
      </c>
      <c r="H454" s="9" t="inlineStr"/>
      <c r="I454" s="12" t="inlineStr"/>
    </row>
    <row r="455">
      <c r="A455" s="13" t="n"/>
      <c r="B455" s="13" t="inlineStr">
        <is>
          <t>1000</t>
        </is>
      </c>
      <c r="C455" s="14" t="inlineStr">
        <is>
          <t>TOTAL SELL</t>
        </is>
      </c>
      <c r="D455" s="15" t="n">
        <v>1065.2</v>
      </c>
      <c r="E455" s="15" t="n">
        <v>820.61</v>
      </c>
      <c r="F455" s="15" t="n">
        <v>244.59</v>
      </c>
      <c r="G455" s="13" t="inlineStr">
        <is>
          <t>+30%</t>
        </is>
      </c>
      <c r="H455" s="16" t="inlineStr">
        <is>
          <t>FAIL</t>
        </is>
      </c>
      <c r="I455" s="13" t="inlineStr"/>
    </row>
    <row r="457">
      <c r="A457" s="7" t="inlineStr">
        <is>
          <t>Walmart Sidekick Display - Lubrication Specialties (Hot Shot's Secret) - SPOT RW-260731-113050 - iQuote #223878 - qty 2000 - iQuote OptDesc: Option 1</t>
        </is>
      </c>
    </row>
    <row r="458">
      <c r="A458" s="8" t="inlineStr">
        <is>
          <t xml:space="preserve">    Resolution: only one option available</t>
        </is>
      </c>
    </row>
    <row r="459">
      <c r="A459" s="9" t="n"/>
      <c r="B459" s="9" t="inlineStr">
        <is>
          <t>2000</t>
        </is>
      </c>
      <c r="C459" s="10" t="inlineStr">
        <is>
          <t>Material</t>
        </is>
      </c>
      <c r="D459" s="11" t="n">
        <v>197.47</v>
      </c>
      <c r="E459" s="11" t="n">
        <v>192.2276</v>
      </c>
      <c r="F459" s="11" t="n">
        <v>5.24</v>
      </c>
      <c r="G459" s="9" t="inlineStr">
        <is>
          <t>+3%</t>
        </is>
      </c>
      <c r="H459" s="9" t="inlineStr"/>
      <c r="I459" s="12" t="inlineStr"/>
    </row>
    <row r="460">
      <c r="A460" s="9" t="n"/>
      <c r="B460" s="9" t="n"/>
      <c r="C460" s="10" t="inlineStr">
        <is>
          <t>Print</t>
        </is>
      </c>
      <c r="D460" s="11" t="n">
        <v>249.02</v>
      </c>
      <c r="E460" s="11" t="n">
        <v>211.8258</v>
      </c>
      <c r="F460" s="11" t="n">
        <v>37.19</v>
      </c>
      <c r="G460" s="9" t="inlineStr">
        <is>
          <t>+18%</t>
        </is>
      </c>
      <c r="H460" s="9" t="inlineStr"/>
      <c r="I460" s="12" t="inlineStr"/>
    </row>
    <row r="461">
      <c r="A461" s="9" t="n"/>
      <c r="B461" s="9" t="n"/>
      <c r="C461" s="10" t="inlineStr">
        <is>
          <t>Cutting</t>
        </is>
      </c>
      <c r="D461" s="11" t="n">
        <v>390.55</v>
      </c>
      <c r="E461" s="11" t="n">
        <v>433.6362</v>
      </c>
      <c r="F461" s="11" t="n">
        <v>-43.09</v>
      </c>
      <c r="G461" s="9" t="inlineStr">
        <is>
          <t>-10%</t>
        </is>
      </c>
      <c r="H461" s="9" t="inlineStr"/>
      <c r="I461" s="12" t="inlineStr"/>
    </row>
    <row r="462">
      <c r="A462" s="9" t="n"/>
      <c r="B462" s="9" t="n"/>
      <c r="C462" s="10" t="inlineStr">
        <is>
          <t>Handwork</t>
        </is>
      </c>
      <c r="D462" s="11" t="n">
        <v>0</v>
      </c>
      <c r="E462" s="11" t="n">
        <v>0</v>
      </c>
      <c r="F462" s="11" t="n">
        <v>0</v>
      </c>
      <c r="G462" s="9" t="inlineStr">
        <is>
          <t>n/a</t>
        </is>
      </c>
      <c r="H462" s="9" t="inlineStr"/>
      <c r="I462" s="12" t="inlineStr"/>
    </row>
    <row r="463">
      <c r="A463" s="13" t="n"/>
      <c r="B463" s="13" t="inlineStr">
        <is>
          <t>2000</t>
        </is>
      </c>
      <c r="C463" s="14" t="inlineStr">
        <is>
          <t>TOTAL SELL</t>
        </is>
      </c>
      <c r="D463" s="15" t="n">
        <v>1378.63</v>
      </c>
      <c r="E463" s="15" t="n">
        <v>1307.95</v>
      </c>
      <c r="F463" s="15" t="n">
        <v>70.68000000000001</v>
      </c>
      <c r="G463" s="13" t="inlineStr">
        <is>
          <t>+5%</t>
        </is>
      </c>
      <c r="H463" s="17" t="inlineStr">
        <is>
          <t>PASS</t>
        </is>
      </c>
      <c r="I463" s="13" t="inlineStr"/>
    </row>
    <row r="465">
      <c r="A465" s="7" t="inlineStr">
        <is>
          <t>Whirlpool Press Sheet - SPOT RW-260727-102959 - iQuote #223393 - qty 230 - BECAME A JOB - iQuote OptDesc: Option 1</t>
        </is>
      </c>
    </row>
    <row r="466">
      <c r="A466" s="8" t="inlineStr">
        <is>
          <t xml:space="preserve">    Resolution: only one option available</t>
        </is>
      </c>
    </row>
    <row r="467">
      <c r="A467" s="9" t="n"/>
      <c r="B467" s="9" t="inlineStr">
        <is>
          <t>230</t>
        </is>
      </c>
      <c r="C467" s="10" t="inlineStr">
        <is>
          <t>Material</t>
        </is>
      </c>
      <c r="D467" s="11" t="n">
        <v>327.76</v>
      </c>
      <c r="E467" s="11" t="n">
        <v>299.229</v>
      </c>
      <c r="F467" s="11" t="n">
        <v>28.53</v>
      </c>
      <c r="G467" s="9" t="inlineStr">
        <is>
          <t>+10%</t>
        </is>
      </c>
      <c r="H467" s="9" t="inlineStr"/>
      <c r="I467" s="12" t="inlineStr"/>
    </row>
    <row r="468">
      <c r="A468" s="9" t="n"/>
      <c r="B468" s="9" t="n"/>
      <c r="C468" s="10" t="inlineStr">
        <is>
          <t>Print</t>
        </is>
      </c>
      <c r="D468" s="11" t="n">
        <v>403.5</v>
      </c>
      <c r="E468" s="11" t="n">
        <v>328.3183</v>
      </c>
      <c r="F468" s="11" t="n">
        <v>75.18000000000001</v>
      </c>
      <c r="G468" s="9" t="inlineStr">
        <is>
          <t>+23%</t>
        </is>
      </c>
      <c r="H468" s="9" t="inlineStr"/>
      <c r="I468" s="12" t="inlineStr"/>
    </row>
    <row r="469">
      <c r="A469" s="9" t="n"/>
      <c r="B469" s="9" t="n"/>
      <c r="C469" s="10" t="inlineStr">
        <is>
          <t>Cutting</t>
        </is>
      </c>
      <c r="D469" s="11" t="n">
        <v>225.4</v>
      </c>
      <c r="E469" s="11" t="n">
        <v>104.6213</v>
      </c>
      <c r="F469" s="11" t="n">
        <v>120.78</v>
      </c>
      <c r="G469" s="9" t="inlineStr">
        <is>
          <t>+115%</t>
        </is>
      </c>
      <c r="H469" s="9" t="inlineStr"/>
      <c r="I469" s="12" t="inlineStr"/>
    </row>
    <row r="470">
      <c r="A470" s="9" t="n"/>
      <c r="B470" s="9" t="n"/>
      <c r="C470" s="10" t="inlineStr">
        <is>
          <t>Handwork</t>
        </is>
      </c>
      <c r="D470" s="11" t="n">
        <v>0</v>
      </c>
      <c r="E470" s="11" t="n">
        <v>0</v>
      </c>
      <c r="F470" s="11" t="n">
        <v>0</v>
      </c>
      <c r="G470" s="9" t="inlineStr">
        <is>
          <t>n/a</t>
        </is>
      </c>
      <c r="H470" s="9" t="inlineStr"/>
      <c r="I470" s="12" t="inlineStr"/>
    </row>
    <row r="471">
      <c r="A471" s="13" t="n"/>
      <c r="B471" s="13" t="inlineStr">
        <is>
          <t>230</t>
        </is>
      </c>
      <c r="C471" s="14" t="inlineStr">
        <is>
          <t>TOTAL SELL</t>
        </is>
      </c>
      <c r="D471" s="15" t="n">
        <v>1753.9</v>
      </c>
      <c r="E471" s="15" t="n">
        <v>1387.27</v>
      </c>
      <c r="F471" s="15" t="n">
        <v>366.63</v>
      </c>
      <c r="G471" s="13" t="inlineStr">
        <is>
          <t>+26%</t>
        </is>
      </c>
      <c r="H471" s="16" t="inlineStr">
        <is>
          <t>FAIL</t>
        </is>
      </c>
      <c r="I471" s="13" t="inlineStr"/>
    </row>
    <row r="473">
      <c r="A473" s="7" t="inlineStr">
        <is>
          <t>Z109871-1 / Mettler-Toledo - SPOT RW-260727-095102 - iQuote #223486 - qty 50 - BECAME A JOB - iQuote OptDesc: Option 1</t>
        </is>
      </c>
    </row>
    <row r="474">
      <c r="A474" s="8" t="inlineStr">
        <is>
          <t xml:space="preserve">    Resolution: only one option available</t>
        </is>
      </c>
    </row>
    <row r="475">
      <c r="A475" s="9" t="n"/>
      <c r="B475" s="9" t="inlineStr">
        <is>
          <t>50</t>
        </is>
      </c>
      <c r="C475" s="10" t="inlineStr">
        <is>
          <t>Material</t>
        </is>
      </c>
      <c r="D475" s="11" t="n">
        <v>30.57</v>
      </c>
      <c r="E475" s="11" t="n">
        <v>32.7137</v>
      </c>
      <c r="F475" s="11" t="n">
        <v>-2.14</v>
      </c>
      <c r="G475" s="9" t="inlineStr">
        <is>
          <t>-7%</t>
        </is>
      </c>
      <c r="H475" s="9" t="inlineStr"/>
      <c r="I475" s="12" t="inlineStr"/>
    </row>
    <row r="476">
      <c r="A476" s="9" t="n"/>
      <c r="B476" s="9" t="n"/>
      <c r="C476" s="10" t="inlineStr">
        <is>
          <t>Print</t>
        </is>
      </c>
      <c r="D476" s="11" t="n">
        <v>0</v>
      </c>
      <c r="E476" s="11" t="n">
        <v>0</v>
      </c>
      <c r="F476" s="11" t="n">
        <v>0</v>
      </c>
      <c r="G476" s="9" t="inlineStr">
        <is>
          <t>n/a</t>
        </is>
      </c>
      <c r="H476" s="9" t="inlineStr"/>
      <c r="I476" s="12" t="inlineStr"/>
    </row>
    <row r="477">
      <c r="A477" s="9" t="n"/>
      <c r="B477" s="9" t="n"/>
      <c r="C477" s="10" t="inlineStr">
        <is>
          <t>Cutting</t>
        </is>
      </c>
      <c r="D477" s="11" t="n">
        <v>93.84</v>
      </c>
      <c r="E477" s="11" t="n">
        <v>81.44880000000001</v>
      </c>
      <c r="F477" s="11" t="n">
        <v>12.39</v>
      </c>
      <c r="G477" s="9" t="inlineStr">
        <is>
          <t>+15%</t>
        </is>
      </c>
      <c r="H477" s="9" t="inlineStr"/>
      <c r="I477" s="12" t="inlineStr"/>
    </row>
    <row r="478">
      <c r="A478" s="9" t="n"/>
      <c r="B478" s="9" t="n"/>
      <c r="C478" s="10" t="inlineStr">
        <is>
          <t>Handwork</t>
        </is>
      </c>
      <c r="D478" s="11" t="n">
        <v>3.4</v>
      </c>
      <c r="E478" s="11" t="n">
        <v>0</v>
      </c>
      <c r="F478" s="11" t="n">
        <v>3.4</v>
      </c>
      <c r="G478" s="9" t="inlineStr">
        <is>
          <t>n/a</t>
        </is>
      </c>
      <c r="H478" s="9" t="inlineStr"/>
      <c r="I478" s="12" t="inlineStr"/>
    </row>
    <row r="479">
      <c r="A479" s="13" t="n"/>
      <c r="B479" s="13" t="inlineStr">
        <is>
          <t>50</t>
        </is>
      </c>
      <c r="C479" s="14" t="inlineStr">
        <is>
          <t>TOTAL SELL</t>
        </is>
      </c>
      <c r="D479" s="15" t="n">
        <v>255.63</v>
      </c>
      <c r="E479" s="15" t="n">
        <v>248.28</v>
      </c>
      <c r="F479" s="15" t="n">
        <v>7.35</v>
      </c>
      <c r="G479" s="13" t="inlineStr">
        <is>
          <t>+3%</t>
        </is>
      </c>
      <c r="H479" s="17" t="inlineStr">
        <is>
          <t>PASS</t>
        </is>
      </c>
      <c r="I479" s="13" t="inlineStr"/>
    </row>
  </sheetData>
  <mergeCells count="120">
    <mergeCell ref="A305:I305"/>
    <mergeCell ref="A397:I397"/>
    <mergeCell ref="A341:I341"/>
    <mergeCell ref="A390:I390"/>
    <mergeCell ref="A425:I425"/>
    <mergeCell ref="A306:I306"/>
    <mergeCell ref="A2:I2"/>
    <mergeCell ref="A424:I424"/>
    <mergeCell ref="A53:I53"/>
    <mergeCell ref="A22:I22"/>
    <mergeCell ref="A433:I433"/>
    <mergeCell ref="A62:I62"/>
    <mergeCell ref="A240:I240"/>
    <mergeCell ref="A466:I466"/>
    <mergeCell ref="A30:I30"/>
    <mergeCell ref="A232:I232"/>
    <mergeCell ref="A103:I103"/>
    <mergeCell ref="A216:I216"/>
    <mergeCell ref="A458:I458"/>
    <mergeCell ref="A169:I169"/>
    <mergeCell ref="A225:I225"/>
    <mergeCell ref="A339:I339"/>
    <mergeCell ref="A296:I296"/>
    <mergeCell ref="A61:I61"/>
    <mergeCell ref="A87:I87"/>
    <mergeCell ref="A442:I442"/>
    <mergeCell ref="A153:I153"/>
    <mergeCell ref="A128:I128"/>
    <mergeCell ref="A137:I137"/>
    <mergeCell ref="A37:I37"/>
    <mergeCell ref="A46:I46"/>
    <mergeCell ref="A177:I177"/>
    <mergeCell ref="A208:I208"/>
    <mergeCell ref="A217:I217"/>
    <mergeCell ref="A330:I330"/>
    <mergeCell ref="A366:I366"/>
    <mergeCell ref="A136:I136"/>
    <mergeCell ref="A192:I192"/>
    <mergeCell ref="A145:I145"/>
    <mergeCell ref="A272:I272"/>
    <mergeCell ref="A381:I381"/>
    <mergeCell ref="A415:I415"/>
    <mergeCell ref="A129:I129"/>
    <mergeCell ref="A313:I313"/>
    <mergeCell ref="A322:I322"/>
    <mergeCell ref="A374:I374"/>
    <mergeCell ref="A184:I184"/>
    <mergeCell ref="A389:I389"/>
    <mergeCell ref="A407:I407"/>
    <mergeCell ref="A416:I416"/>
    <mergeCell ref="A77:I77"/>
    <mergeCell ref="A441:I441"/>
    <mergeCell ref="A350:I350"/>
    <mergeCell ref="A1:I1"/>
    <mergeCell ref="A45:I45"/>
    <mergeCell ref="A94:I94"/>
    <mergeCell ref="A457:I457"/>
    <mergeCell ref="A168:I168"/>
    <mergeCell ref="A281:I281"/>
    <mergeCell ref="A69:I69"/>
    <mergeCell ref="A78:I78"/>
    <mergeCell ref="A256:I256"/>
    <mergeCell ref="A193:I193"/>
    <mergeCell ref="A264:I264"/>
    <mergeCell ref="A233:I233"/>
    <mergeCell ref="A273:I273"/>
    <mergeCell ref="A120:I120"/>
    <mergeCell ref="A365:I365"/>
    <mergeCell ref="A21:I21"/>
    <mergeCell ref="A248:I248"/>
    <mergeCell ref="A104:I104"/>
    <mergeCell ref="A297:I297"/>
    <mergeCell ref="A113:I113"/>
    <mergeCell ref="A406:I406"/>
    <mergeCell ref="A5:I5"/>
    <mergeCell ref="A14:I14"/>
    <mergeCell ref="A185:I185"/>
    <mergeCell ref="A200:I200"/>
    <mergeCell ref="A38:I38"/>
    <mergeCell ref="A209:I209"/>
    <mergeCell ref="A280:I280"/>
    <mergeCell ref="A382:I382"/>
    <mergeCell ref="A338:I338"/>
    <mergeCell ref="A201:I201"/>
    <mergeCell ref="A340:I340"/>
    <mergeCell ref="A6:I6"/>
    <mergeCell ref="A473:I473"/>
    <mergeCell ref="A465:I465"/>
    <mergeCell ref="A434:I434"/>
    <mergeCell ref="A474:I474"/>
    <mergeCell ref="A86:I86"/>
    <mergeCell ref="A95:I95"/>
    <mergeCell ref="A449:I449"/>
    <mergeCell ref="A160:I160"/>
    <mergeCell ref="A331:I331"/>
    <mergeCell ref="A144:I144"/>
    <mergeCell ref="A224:I224"/>
    <mergeCell ref="A373:I373"/>
    <mergeCell ref="A29:I29"/>
    <mergeCell ref="A112:I112"/>
    <mergeCell ref="A152:I152"/>
    <mergeCell ref="A265:I265"/>
    <mergeCell ref="A121:I121"/>
    <mergeCell ref="A323:I323"/>
    <mergeCell ref="A161:I161"/>
    <mergeCell ref="A450:I450"/>
    <mergeCell ref="A13:I13"/>
    <mergeCell ref="A288:I288"/>
    <mergeCell ref="A357:I357"/>
    <mergeCell ref="A249:I249"/>
    <mergeCell ref="A289:I289"/>
    <mergeCell ref="A176:I176"/>
    <mergeCell ref="A314:I314"/>
    <mergeCell ref="A257:I257"/>
    <mergeCell ref="A349:I349"/>
    <mergeCell ref="A358:I358"/>
    <mergeCell ref="A70:I70"/>
    <mergeCell ref="A241:I241"/>
    <mergeCell ref="A398:I398"/>
    <mergeCell ref="A54:I5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4" customWidth="1" min="4" max="4"/>
    <col width="40" customWidth="1" min="5" max="5"/>
    <col width="30" customWidth="1" min="6" max="6"/>
    <col width="14" customWidth="1" min="7" max="7"/>
    <col width="14" customWidth="1" min="8" max="8"/>
    <col width="14" customWidth="1" min="9" max="9"/>
    <col width="12" customWidth="1" min="10" max="10"/>
    <col width="12" customWidth="1" min="11" max="11"/>
    <col width="15" customWidth="1" min="12" max="12"/>
  </cols>
  <sheetData>
    <row r="1">
      <c r="A1" s="5" t="inlineStr">
        <is>
          <t>Pricing Summary - iQuote vs SPOT (whole-quote totals)</t>
        </is>
      </c>
    </row>
    <row r="2">
      <c r="A2" s="2" t="inlineStr">
        <is>
          <t>One row per SPOT scenario. Totals = sum of all components in the quote.</t>
        </is>
      </c>
    </row>
    <row r="4">
      <c r="A4" s="6" t="inlineStr">
        <is>
          <t>Project</t>
        </is>
      </c>
      <c r="B4" s="6" t="inlineStr">
        <is>
          <t>SPOT Estimate #</t>
        </is>
      </c>
      <c r="C4" s="6" t="inlineStr">
        <is>
          <t>iQuote #</t>
        </is>
      </c>
      <c r="D4" s="6" t="inlineStr">
        <is>
          <t>Qty</t>
        </is>
      </c>
      <c r="E4" s="6" t="inlineStr">
        <is>
          <t>Board Specs</t>
        </is>
      </c>
      <c r="F4" s="6" t="inlineStr">
        <is>
          <t>iQuote OptDesc</t>
        </is>
      </c>
      <c r="G4" s="6" t="inlineStr">
        <is>
          <t>iQuote Sell $</t>
        </is>
      </c>
      <c r="H4" s="6" t="inlineStr">
        <is>
          <t>SPOT Sell $</t>
        </is>
      </c>
      <c r="I4" s="6" t="inlineStr">
        <is>
          <t>Delta $</t>
        </is>
      </c>
      <c r="J4" s="6" t="inlineStr">
        <is>
          <t>Delta %</t>
        </is>
      </c>
      <c r="K4" s="6" t="inlineStr">
        <is>
          <t>Verdict</t>
        </is>
      </c>
      <c r="L4" s="6" t="inlineStr">
        <is>
          <t>Became a Job</t>
        </is>
      </c>
    </row>
    <row r="5">
      <c r="A5" s="20" t="inlineStr">
        <is>
          <t>(no name)</t>
        </is>
      </c>
      <c r="B5" s="20" t="inlineStr">
        <is>
          <t>RW-260722-095152</t>
        </is>
      </c>
      <c r="C5" s="20" t="n">
        <v>223575</v>
      </c>
      <c r="D5" s="20" t="inlineStr">
        <is>
          <t>500</t>
        </is>
      </c>
      <c r="E5" s="21" t="inlineStr">
        <is>
          <t>ECT 32 B - 11 x 19.562 - sheet 60x120</t>
        </is>
      </c>
      <c r="F5" s="21" t="inlineStr">
        <is>
          <t>Option 1</t>
        </is>
      </c>
      <c r="G5" s="22" t="n">
        <v>985.09</v>
      </c>
      <c r="H5" s="22" t="n">
        <v>1288.67</v>
      </c>
      <c r="I5" s="22" t="n">
        <v>303.58</v>
      </c>
      <c r="J5" s="20" t="inlineStr">
        <is>
          <t>+31%</t>
        </is>
      </c>
      <c r="K5" s="23" t="inlineStr">
        <is>
          <t>FAIL</t>
        </is>
      </c>
      <c r="L5" s="20" t="inlineStr">
        <is>
          <t>Yes</t>
        </is>
      </c>
    </row>
    <row r="6">
      <c r="A6" s="20" t="inlineStr">
        <is>
          <t>0904-219 Center Joint</t>
        </is>
      </c>
      <c r="B6" s="20" t="inlineStr">
        <is>
          <t>RW-260724-113737</t>
        </is>
      </c>
      <c r="C6" s="20" t="n">
        <v>223651</v>
      </c>
      <c r="D6" s="20" t="inlineStr">
        <is>
          <t>22</t>
        </is>
      </c>
      <c r="E6" s="21" t="inlineStr">
        <is>
          <t>200 B - 14.938 x 13.5 - sheet 63x98</t>
        </is>
      </c>
      <c r="F6" s="21" t="inlineStr">
        <is>
          <t>Option 1</t>
        </is>
      </c>
      <c r="G6" s="22" t="n">
        <v>130.54</v>
      </c>
      <c r="H6" s="22" t="n">
        <v>132.39</v>
      </c>
      <c r="I6" s="22" t="n">
        <v>1.85</v>
      </c>
      <c r="J6" s="20" t="inlineStr">
        <is>
          <t>+1%</t>
        </is>
      </c>
      <c r="K6" s="24" t="inlineStr">
        <is>
          <t>PASS</t>
        </is>
      </c>
      <c r="L6" s="20" t="inlineStr">
        <is>
          <t>Yes</t>
        </is>
      </c>
    </row>
    <row r="7">
      <c r="A7" s="20" t="inlineStr">
        <is>
          <t>0904-219 Center Joint</t>
        </is>
      </c>
      <c r="B7" s="20" t="inlineStr">
        <is>
          <t>RW-260724-113737</t>
        </is>
      </c>
      <c r="C7" s="20" t="n">
        <v>223651</v>
      </c>
      <c r="D7" s="20" t="inlineStr">
        <is>
          <t>59</t>
        </is>
      </c>
      <c r="E7" s="21" t="inlineStr">
        <is>
          <t>200 B - 14.938 x 13.5 - sheet 63x126</t>
        </is>
      </c>
      <c r="F7" s="21" t="inlineStr">
        <is>
          <t>Option 1</t>
        </is>
      </c>
      <c r="G7" s="22" t="n">
        <v>157.17</v>
      </c>
      <c r="H7" s="22" t="n">
        <v>194.89</v>
      </c>
      <c r="I7" s="22" t="n">
        <v>37.72</v>
      </c>
      <c r="J7" s="20" t="inlineStr">
        <is>
          <t>+24%</t>
        </is>
      </c>
      <c r="K7" s="23" t="inlineStr">
        <is>
          <t>FAIL</t>
        </is>
      </c>
      <c r="L7" s="20" t="inlineStr">
        <is>
          <t>Yes</t>
        </is>
      </c>
    </row>
    <row r="8">
      <c r="A8" s="20" t="inlineStr">
        <is>
          <t>1748 Meijer PED Tasty Biscuits + Dentastix</t>
        </is>
      </c>
      <c r="B8" s="20" t="inlineStr">
        <is>
          <t>RW-260629-133153</t>
        </is>
      </c>
      <c r="C8" s="20" t="n">
        <v>223378</v>
      </c>
      <c r="D8" s="20" t="inlineStr">
        <is>
          <t>250</t>
        </is>
      </c>
      <c r="E8" s="21" t="inlineStr">
        <is>
          <t>250 B - 41 x 46.375 - sheet 63x98 | 200 E - 44.375 x 44.375 - sheet 48x96</t>
        </is>
      </c>
      <c r="F8" s="21" t="inlineStr">
        <is>
          <t>CadCut</t>
        </is>
      </c>
      <c r="G8" s="22" t="n">
        <v>9322.529999999999</v>
      </c>
      <c r="H8" s="22" t="n">
        <v>6824.8</v>
      </c>
      <c r="I8" s="22" t="n">
        <v>-2497.73</v>
      </c>
      <c r="J8" s="20" t="inlineStr">
        <is>
          <t>-27%</t>
        </is>
      </c>
      <c r="K8" s="23" t="inlineStr">
        <is>
          <t>FAIL</t>
        </is>
      </c>
      <c r="L8" s="20" t="inlineStr">
        <is>
          <t>No</t>
        </is>
      </c>
    </row>
    <row r="9">
      <c r="A9" s="20" t="inlineStr">
        <is>
          <t>3M Wall Repair Kit</t>
        </is>
      </c>
      <c r="B9" s="20" t="inlineStr">
        <is>
          <t>RW-260720-093753</t>
        </is>
      </c>
      <c r="C9" s="20" t="n">
        <v>221299</v>
      </c>
      <c r="D9" s="20" t="inlineStr">
        <is>
          <t>30, 300</t>
        </is>
      </c>
      <c r="E9" s="21" t="inlineStr">
        <is>
          <t>200 E - 25.812 x 28.438 - sheet 60x120 | 200 E - 30.312 x 32.812 - sheet 63x126</t>
        </is>
      </c>
      <c r="F9" s="21" t="inlineStr">
        <is>
          <t>Option 1 - Original</t>
        </is>
      </c>
      <c r="G9" s="22" t="n">
        <v>2570.16</v>
      </c>
      <c r="H9" s="22" t="n">
        <v>3006.89</v>
      </c>
      <c r="I9" s="22" t="n">
        <v>436.73</v>
      </c>
      <c r="J9" s="20" t="inlineStr">
        <is>
          <t>+17%</t>
        </is>
      </c>
      <c r="K9" s="25" t="inlineStr">
        <is>
          <t>REVIEW</t>
        </is>
      </c>
      <c r="L9" s="20" t="inlineStr">
        <is>
          <t>No</t>
        </is>
      </c>
    </row>
    <row r="10">
      <c r="A10" s="20" t="inlineStr">
        <is>
          <t>48 Count Nacho Fiesta</t>
        </is>
      </c>
      <c r="B10" s="20" t="inlineStr">
        <is>
          <t>RW-260706-110912</t>
        </is>
      </c>
      <c r="C10" s="20" t="n">
        <v>223498</v>
      </c>
      <c r="D10" s="20" t="inlineStr">
        <is>
          <t>250</t>
        </is>
      </c>
      <c r="E10" s="21" t="inlineStr">
        <is>
          <t>ECT 32 B - 12 x 19 - sheet 63x98</t>
        </is>
      </c>
      <c r="F10" s="21" t="inlineStr">
        <is>
          <t>Option 1</t>
        </is>
      </c>
      <c r="G10" s="22" t="n">
        <v>818.97</v>
      </c>
      <c r="H10" s="22" t="n">
        <v>991.12</v>
      </c>
      <c r="I10" s="22" t="n">
        <v>172.15</v>
      </c>
      <c r="J10" s="20" t="inlineStr">
        <is>
          <t>+21%</t>
        </is>
      </c>
      <c r="K10" s="23" t="inlineStr">
        <is>
          <t>FAIL</t>
        </is>
      </c>
      <c r="L10" s="20" t="inlineStr">
        <is>
          <t>No</t>
        </is>
      </c>
    </row>
    <row r="11">
      <c r="A11" s="20" t="inlineStr">
        <is>
          <t>48 Count Nacho Fiesta</t>
        </is>
      </c>
      <c r="B11" s="20" t="inlineStr">
        <is>
          <t>RW-260706-110912</t>
        </is>
      </c>
      <c r="C11" s="20" t="n">
        <v>223498</v>
      </c>
      <c r="D11" s="20" t="inlineStr">
        <is>
          <t>350</t>
        </is>
      </c>
      <c r="E11" s="21" t="inlineStr">
        <is>
          <t>ECT 32 B - 12 x 19 - sheet 63x126</t>
        </is>
      </c>
      <c r="F11" s="21" t="inlineStr">
        <is>
          <t>Option 1</t>
        </is>
      </c>
      <c r="G11" s="22" t="n">
        <v>958.6</v>
      </c>
      <c r="H11" s="22" t="n">
        <v>1208.46</v>
      </c>
      <c r="I11" s="22" t="n">
        <v>249.86</v>
      </c>
      <c r="J11" s="20" t="inlineStr">
        <is>
          <t>+26%</t>
        </is>
      </c>
      <c r="K11" s="23" t="inlineStr">
        <is>
          <t>FAIL</t>
        </is>
      </c>
      <c r="L11" s="20" t="inlineStr">
        <is>
          <t>No</t>
        </is>
      </c>
    </row>
    <row r="12">
      <c r="A12" s="20" t="inlineStr">
        <is>
          <t>48 Count Nacho Fiesta</t>
        </is>
      </c>
      <c r="B12" s="20" t="inlineStr">
        <is>
          <t>RW-260706-110912</t>
        </is>
      </c>
      <c r="C12" s="20" t="n">
        <v>223498</v>
      </c>
      <c r="D12" s="20" t="inlineStr">
        <is>
          <t>500</t>
        </is>
      </c>
      <c r="E12" s="21" t="inlineStr">
        <is>
          <t>ECT 32 B - 12 x 19 - sheet 63x126</t>
        </is>
      </c>
      <c r="F12" s="21" t="inlineStr">
        <is>
          <t>Option 1</t>
        </is>
      </c>
      <c r="G12" s="22" t="n">
        <v>1168.02</v>
      </c>
      <c r="H12" s="22" t="n">
        <v>1478.65</v>
      </c>
      <c r="I12" s="22" t="n">
        <v>310.63</v>
      </c>
      <c r="J12" s="20" t="inlineStr">
        <is>
          <t>+27%</t>
        </is>
      </c>
      <c r="K12" s="23" t="inlineStr">
        <is>
          <t>FAIL</t>
        </is>
      </c>
      <c r="L12" s="20" t="inlineStr">
        <is>
          <t>No</t>
        </is>
      </c>
    </row>
    <row r="13">
      <c r="A13" s="20" t="inlineStr">
        <is>
          <t>48 Count Nacho Fiesta</t>
        </is>
      </c>
      <c r="B13" s="20" t="inlineStr">
        <is>
          <t>RW-260706-110912</t>
        </is>
      </c>
      <c r="C13" s="20" t="n">
        <v>223498</v>
      </c>
      <c r="D13" s="20" t="inlineStr">
        <is>
          <t>750</t>
        </is>
      </c>
      <c r="E13" s="21" t="inlineStr">
        <is>
          <t>ECT 32 B - 12 x 19 - sheet 63x126</t>
        </is>
      </c>
      <c r="F13" s="21" t="inlineStr">
        <is>
          <t>Option 1</t>
        </is>
      </c>
      <c r="G13" s="22" t="n">
        <v>1517.07</v>
      </c>
      <c r="H13" s="22" t="n">
        <v>1565.74</v>
      </c>
      <c r="I13" s="22" t="n">
        <v>48.67</v>
      </c>
      <c r="J13" s="20" t="inlineStr">
        <is>
          <t>+3%</t>
        </is>
      </c>
      <c r="K13" s="24" t="inlineStr">
        <is>
          <t>PASS</t>
        </is>
      </c>
      <c r="L13" s="20" t="inlineStr">
        <is>
          <t>No</t>
        </is>
      </c>
    </row>
    <row r="14">
      <c r="A14" s="20" t="inlineStr">
        <is>
          <t>8FT LED Tubes / 95053687</t>
        </is>
      </c>
      <c r="B14" s="20" t="inlineStr">
        <is>
          <t>RW-260727-101129</t>
        </is>
      </c>
      <c r="C14" s="20" t="n">
        <v>223454</v>
      </c>
      <c r="D14" s="20" t="inlineStr">
        <is>
          <t>220</t>
        </is>
      </c>
      <c r="E14" s="21" t="inlineStr">
        <is>
          <t>200 B - 44.25 x 104.75 - sheet 60x120</t>
        </is>
      </c>
      <c r="F14" s="21" t="inlineStr">
        <is>
          <t>Option 1 - D/C</t>
        </is>
      </c>
      <c r="G14" s="22" t="n">
        <v>6164.32</v>
      </c>
      <c r="H14" s="22" t="n">
        <v>5824.4</v>
      </c>
      <c r="I14" s="22" t="n">
        <v>-339.92</v>
      </c>
      <c r="J14" s="20" t="inlineStr">
        <is>
          <t>-6%</t>
        </is>
      </c>
      <c r="K14" s="24" t="inlineStr">
        <is>
          <t>PASS</t>
        </is>
      </c>
      <c r="L14" s="20" t="inlineStr">
        <is>
          <t>Yes</t>
        </is>
      </c>
    </row>
    <row r="15">
      <c r="A15" s="20" t="inlineStr">
        <is>
          <t>ACE HARDWARE 42 GAL TRASH BIN (REV)</t>
        </is>
      </c>
      <c r="B15" s="20" t="inlineStr">
        <is>
          <t>RW-260727-080830</t>
        </is>
      </c>
      <c r="C15" s="20" t="n">
        <v>223209</v>
      </c>
      <c r="D15" s="20" t="inlineStr">
        <is>
          <t>1</t>
        </is>
      </c>
      <c r="E15" s="21" t="inlineStr">
        <is>
          <t>ECT 32 C - 42.25 x 66.125 - sheet 63x98</t>
        </is>
      </c>
      <c r="F15" s="21" t="inlineStr">
        <is>
          <t>Option 1</t>
        </is>
      </c>
      <c r="G15" s="22" t="n">
        <v>241.9</v>
      </c>
      <c r="H15" s="22" t="n">
        <v>453.63</v>
      </c>
      <c r="I15" s="22" t="n">
        <v>211.73</v>
      </c>
      <c r="J15" s="20" t="inlineStr">
        <is>
          <t>+88%</t>
        </is>
      </c>
      <c r="K15" s="23" t="inlineStr">
        <is>
          <t>FAIL</t>
        </is>
      </c>
      <c r="L15" s="20" t="inlineStr">
        <is>
          <t>Yes</t>
        </is>
      </c>
    </row>
    <row r="16">
      <c r="A16" s="20" t="inlineStr">
        <is>
          <t>C8(C9) 26 LP Meijer Elvive Floorstand - 129729</t>
        </is>
      </c>
      <c r="B16" s="20" t="inlineStr">
        <is>
          <t>RW-260709-132147</t>
        </is>
      </c>
      <c r="C16" s="20" t="n">
        <v>221998</v>
      </c>
      <c r="D16" s="20" t="inlineStr">
        <is>
          <t>525</t>
        </is>
      </c>
      <c r="E16" s="21" t="inlineStr">
        <is>
          <t>200 C - 40.812 x 49.188 - sheet 60x120 | 200 B - 26.688 x 53 - sheet 60x120 | 200 E - 30 x 38.625 - sheet 63x126 | ECT 44 C - 20.812 x 55.75 - sheet 60x120</t>
        </is>
      </c>
      <c r="F16" s="21" t="inlineStr">
        <is>
          <t>Option 1 - D/C w/riser</t>
        </is>
      </c>
      <c r="G16" s="22" t="n">
        <v>33560.95</v>
      </c>
      <c r="H16" s="22" t="n">
        <v>21441.56</v>
      </c>
      <c r="I16" s="22" t="n">
        <v>-12119.39</v>
      </c>
      <c r="J16" s="20" t="inlineStr">
        <is>
          <t>-36%</t>
        </is>
      </c>
      <c r="K16" s="23" t="inlineStr">
        <is>
          <t>FAIL</t>
        </is>
      </c>
      <c r="L16" s="20" t="inlineStr">
        <is>
          <t>No</t>
        </is>
      </c>
    </row>
    <row r="17">
      <c r="A17" s="20" t="inlineStr">
        <is>
          <t>C8(C9) 26 LP Meijer Elvive Floorstand - 129729</t>
        </is>
      </c>
      <c r="B17" s="20" t="inlineStr">
        <is>
          <t>RW-260709-132147</t>
        </is>
      </c>
      <c r="C17" s="20" t="n">
        <v>221998</v>
      </c>
      <c r="D17" s="20" t="inlineStr">
        <is>
          <t>1575</t>
        </is>
      </c>
      <c r="E17" s="21" t="inlineStr">
        <is>
          <t>200 B - 31.562 x 36.25 - sheet 60x120</t>
        </is>
      </c>
      <c r="F17" s="21" t="inlineStr">
        <is>
          <t>Option 1 - D/C w/riser</t>
        </is>
      </c>
      <c r="G17" s="22" t="n">
        <v>13075.83</v>
      </c>
      <c r="H17" s="22" t="n">
        <v>12649.14</v>
      </c>
      <c r="I17" s="22" t="n">
        <v>-426.69</v>
      </c>
      <c r="J17" s="20" t="inlineStr">
        <is>
          <t>-3%</t>
        </is>
      </c>
      <c r="K17" s="24" t="inlineStr">
        <is>
          <t>PASS</t>
        </is>
      </c>
      <c r="L17" s="20" t="inlineStr">
        <is>
          <t>No</t>
        </is>
      </c>
    </row>
    <row r="18">
      <c r="A18" s="20" t="inlineStr">
        <is>
          <t>CAL-AC22</t>
        </is>
      </c>
      <c r="B18" s="20" t="inlineStr">
        <is>
          <t>RW-260730-164119</t>
        </is>
      </c>
      <c r="C18" s="20" t="n">
        <v>223911</v>
      </c>
      <c r="D18" s="20" t="inlineStr">
        <is>
          <t>1000</t>
        </is>
      </c>
      <c r="E18" s="21" t="inlineStr">
        <is>
          <t>ECT 32 B - 13.125 x 29.375 - sheet 60x120</t>
        </is>
      </c>
      <c r="F18" s="21" t="inlineStr">
        <is>
          <t>Option 1</t>
        </is>
      </c>
      <c r="G18" s="22" t="n">
        <v>4172.85</v>
      </c>
      <c r="H18" s="22" t="n">
        <v>3254.19</v>
      </c>
      <c r="I18" s="22" t="n">
        <v>-918.66</v>
      </c>
      <c r="J18" s="20" t="inlineStr">
        <is>
          <t>-22%</t>
        </is>
      </c>
      <c r="K18" s="23" t="inlineStr">
        <is>
          <t>FAIL</t>
        </is>
      </c>
      <c r="L18" s="20" t="inlineStr">
        <is>
          <t>No</t>
        </is>
      </c>
    </row>
    <row r="19">
      <c r="A19" s="20" t="inlineStr">
        <is>
          <t>CAL-AC22</t>
        </is>
      </c>
      <c r="B19" s="20" t="inlineStr">
        <is>
          <t>RW-260730-164119</t>
        </is>
      </c>
      <c r="C19" s="20" t="n">
        <v>223911</v>
      </c>
      <c r="D19" s="20" t="inlineStr">
        <is>
          <t>1500</t>
        </is>
      </c>
      <c r="E19" s="21" t="inlineStr">
        <is>
          <t>ECT 32 B - 13.125 x 29.375 - sheet 60x120</t>
        </is>
      </c>
      <c r="F19" s="21" t="inlineStr">
        <is>
          <t>Option 1</t>
        </is>
      </c>
      <c r="G19" s="22" t="n">
        <v>5189.55</v>
      </c>
      <c r="H19" s="22" t="n">
        <v>4671.8</v>
      </c>
      <c r="I19" s="22" t="n">
        <v>-517.75</v>
      </c>
      <c r="J19" s="20" t="inlineStr">
        <is>
          <t>-10%</t>
        </is>
      </c>
      <c r="K19" s="24" t="inlineStr">
        <is>
          <t>PASS</t>
        </is>
      </c>
      <c r="L19" s="20" t="inlineStr">
        <is>
          <t>No</t>
        </is>
      </c>
    </row>
    <row r="20">
      <c r="A20" s="20" t="inlineStr">
        <is>
          <t>Case# 00011159 - REVISED - Targeted Pet Treats Shelf Display</t>
        </is>
      </c>
      <c r="B20" s="20" t="inlineStr">
        <is>
          <t>RW-260730-154720</t>
        </is>
      </c>
      <c r="C20" s="20" t="n">
        <v>223784</v>
      </c>
      <c r="D20" s="20" t="inlineStr">
        <is>
          <t>1</t>
        </is>
      </c>
      <c r="E20" s="21" t="inlineStr">
        <is>
          <t>ECT 32 B - 36.5 x 44.875 - sheet 63x63</t>
        </is>
      </c>
      <c r="F20" s="21" t="inlineStr">
        <is>
          <t>Option 1</t>
        </is>
      </c>
      <c r="G20" s="22" t="n">
        <v>646.66</v>
      </c>
      <c r="H20" s="22" t="n">
        <v>935.3399999999999</v>
      </c>
      <c r="I20" s="22" t="n">
        <v>288.68</v>
      </c>
      <c r="J20" s="20" t="inlineStr">
        <is>
          <t>+45%</t>
        </is>
      </c>
      <c r="K20" s="23" t="inlineStr">
        <is>
          <t>FAIL</t>
        </is>
      </c>
      <c r="L20" s="20" t="inlineStr">
        <is>
          <t>Yes</t>
        </is>
      </c>
    </row>
    <row r="21">
      <c r="A21" s="20" t="inlineStr">
        <is>
          <t>Cento Authentic Italian Header</t>
        </is>
      </c>
      <c r="B21" s="20" t="inlineStr">
        <is>
          <t>RW-260730-153734</t>
        </is>
      </c>
      <c r="C21" s="20" t="n">
        <v>223837</v>
      </c>
      <c r="D21" s="20" t="inlineStr">
        <is>
          <t>500</t>
        </is>
      </c>
      <c r="E21" s="21" t="inlineStr">
        <is>
          <t>ECT 32 B - 14.5 x 16.625 - sheet 60x120</t>
        </is>
      </c>
      <c r="F21" s="21" t="inlineStr">
        <is>
          <t>Option 1</t>
        </is>
      </c>
      <c r="G21" s="22" t="n">
        <v>1221.28</v>
      </c>
      <c r="H21" s="22" t="n">
        <v>1668.47</v>
      </c>
      <c r="I21" s="22" t="n">
        <v>447.19</v>
      </c>
      <c r="J21" s="20" t="inlineStr">
        <is>
          <t>+37%</t>
        </is>
      </c>
      <c r="K21" s="23" t="inlineStr">
        <is>
          <t>FAIL</t>
        </is>
      </c>
      <c r="L21" s="20" t="inlineStr">
        <is>
          <t>Yes</t>
        </is>
      </c>
    </row>
    <row r="22">
      <c r="A22" s="20" t="inlineStr">
        <is>
          <t>Concept 100 Valentines Day Display</t>
        </is>
      </c>
      <c r="B22" s="20" t="inlineStr">
        <is>
          <t>RW-260723-084853</t>
        </is>
      </c>
      <c r="C22" s="20" t="n">
        <v>223791</v>
      </c>
      <c r="D22" s="20" t="inlineStr">
        <is>
          <t>8</t>
        </is>
      </c>
      <c r="E22" s="21" t="inlineStr">
        <is>
          <t>200 B - 55 x 51.312 - sheet 60x120 | 200 B - 64.25 x 48.188 - sheet 70.0x51.25 | 200 B - 67.125 x 48.25 - sheet 70.0x51.25 | 200 B - 53.375 x 65.125 - sheet 63x98 | 200 B - 55 x 74 - sheet 63x98 | 200 B - 65.812 x 42.375 - sheet 70.0x51.25 | 200 B - 66.5 x 42.438 - sheet 70.0x51.25 | 200 B - 66.5 x 49.25 - sheet 70.0x51.25</t>
        </is>
      </c>
      <c r="F22" s="21" t="inlineStr">
        <is>
          <t>Option 1</t>
        </is>
      </c>
      <c r="G22" s="22" t="n">
        <v>4461.64</v>
      </c>
      <c r="H22" s="22" t="n">
        <v>5082.3</v>
      </c>
      <c r="I22" s="22" t="n">
        <v>620.66</v>
      </c>
      <c r="J22" s="20" t="inlineStr">
        <is>
          <t>+14%</t>
        </is>
      </c>
      <c r="K22" s="25" t="inlineStr">
        <is>
          <t>REVIEW</t>
        </is>
      </c>
      <c r="L22" s="20" t="inlineStr">
        <is>
          <t>No</t>
        </is>
      </c>
    </row>
    <row r="23">
      <c r="A23" s="20" t="inlineStr">
        <is>
          <t>Concept 100 Valentines Day Display</t>
        </is>
      </c>
      <c r="B23" s="20" t="inlineStr">
        <is>
          <t>RW-260723-084853</t>
        </is>
      </c>
      <c r="C23" s="20" t="n">
        <v>223791</v>
      </c>
      <c r="D23" s="20" t="inlineStr">
        <is>
          <t>15</t>
        </is>
      </c>
      <c r="E23" s="21" t="inlineStr">
        <is>
          <t>200 B - 55 x 51.312 - sheet 60x120 | 200 B - 64.25 x 48.188 - sheet 70.0x51.25 | 200 B - 67.125 x 48.25 - sheet 70.0x51.25 | 200 B - 53.375 x 65.125 - sheet 63x98 | 200 B - 55 x 74 - sheet 63x98 | 200 B - 65.812 x 42.375 - sheet 70.0x51.25 | 200 B - 66.5 x 42.438 - sheet 70.0x51.25 | 200 B - 66.5 x 49.25 - sheet 70.0x51.25</t>
        </is>
      </c>
      <c r="F23" s="21" t="inlineStr">
        <is>
          <t>Option 1</t>
        </is>
      </c>
      <c r="G23" s="22" t="n">
        <v>5653.51</v>
      </c>
      <c r="H23" s="22" t="n">
        <v>7138.25</v>
      </c>
      <c r="I23" s="22" t="n">
        <v>1484.74</v>
      </c>
      <c r="J23" s="20" t="inlineStr">
        <is>
          <t>+26%</t>
        </is>
      </c>
      <c r="K23" s="23" t="inlineStr">
        <is>
          <t>FAIL</t>
        </is>
      </c>
      <c r="L23" s="20" t="inlineStr">
        <is>
          <t>No</t>
        </is>
      </c>
    </row>
    <row r="24">
      <c r="A24" s="20" t="inlineStr">
        <is>
          <t>Fatt Boyy Knife &amp; Tool - Folding Knife Pizza Box</t>
        </is>
      </c>
      <c r="B24" s="20" t="inlineStr">
        <is>
          <t>RW-260721-102108</t>
        </is>
      </c>
      <c r="C24" s="20" t="n">
        <v>223785</v>
      </c>
      <c r="D24" s="20" t="inlineStr">
        <is>
          <t>500</t>
        </is>
      </c>
      <c r="E24" s="21" t="inlineStr">
        <is>
          <t>ECT 32 E - 15.281 x 7.625 - sheet 48x96</t>
        </is>
      </c>
      <c r="F24" s="21" t="inlineStr">
        <is>
          <t>KLA/Kraft</t>
        </is>
      </c>
      <c r="G24" s="22" t="n">
        <v>785.7</v>
      </c>
      <c r="H24" s="22" t="n">
        <v>1183.59</v>
      </c>
      <c r="I24" s="22" t="n">
        <v>397.89</v>
      </c>
      <c r="J24" s="20" t="inlineStr">
        <is>
          <t>+51%</t>
        </is>
      </c>
      <c r="K24" s="23" t="inlineStr">
        <is>
          <t>FAIL</t>
        </is>
      </c>
      <c r="L24" s="20" t="inlineStr">
        <is>
          <t>No</t>
        </is>
      </c>
    </row>
    <row r="25">
      <c r="A25" s="20" t="inlineStr">
        <is>
          <t>ICM Distributing Company Header</t>
        </is>
      </c>
      <c r="B25" s="20" t="inlineStr">
        <is>
          <t>RW-260727-144121</t>
        </is>
      </c>
      <c r="C25" s="20" t="n">
        <v>223575</v>
      </c>
      <c r="D25" s="20" t="inlineStr">
        <is>
          <t>500</t>
        </is>
      </c>
      <c r="E25" s="21" t="inlineStr">
        <is>
          <t>ECT 32 B - 11 x 19.562 - sheet 60x120</t>
        </is>
      </c>
      <c r="F25" s="21" t="inlineStr">
        <is>
          <t>Option 1</t>
        </is>
      </c>
      <c r="G25" s="22" t="n">
        <v>985.09</v>
      </c>
      <c r="H25" s="22" t="n">
        <v>1259.41</v>
      </c>
      <c r="I25" s="22" t="n">
        <v>274.32</v>
      </c>
      <c r="J25" s="20" t="inlineStr">
        <is>
          <t>+28%</t>
        </is>
      </c>
      <c r="K25" s="23" t="inlineStr">
        <is>
          <t>FAIL</t>
        </is>
      </c>
      <c r="L25" s="20" t="inlineStr">
        <is>
          <t>Yes</t>
        </is>
      </c>
    </row>
    <row r="26">
      <c r="A26" s="20" t="inlineStr">
        <is>
          <t>J63068 - Moen Lowes Prepacks (Project 7655)</t>
        </is>
      </c>
      <c r="B26" s="20" t="inlineStr">
        <is>
          <t>RW-260720-082503</t>
        </is>
      </c>
      <c r="C26" s="20" t="n">
        <v>223583</v>
      </c>
      <c r="D26" s="20" t="inlineStr">
        <is>
          <t>918</t>
        </is>
      </c>
      <c r="E26" s="21" t="inlineStr">
        <is>
          <t>200 E - 29.125 x 14.5 - sheet 63x126</t>
        </is>
      </c>
      <c r="F26" s="21" t="inlineStr">
        <is>
          <t>Option 1</t>
        </is>
      </c>
      <c r="G26" s="22" t="n">
        <v>6590.63</v>
      </c>
      <c r="H26" s="22" t="n">
        <v>3328.7</v>
      </c>
      <c r="I26" s="22" t="n">
        <v>-3261.93</v>
      </c>
      <c r="J26" s="20" t="inlineStr">
        <is>
          <t>-50%</t>
        </is>
      </c>
      <c r="K26" s="23" t="inlineStr">
        <is>
          <t>FAIL</t>
        </is>
      </c>
      <c r="L26" s="20" t="inlineStr">
        <is>
          <t>Yes</t>
        </is>
      </c>
    </row>
    <row r="27">
      <c r="A27" s="20" t="inlineStr">
        <is>
          <t>J63068 - Moen Lowes Prepacks (Project 7655)</t>
        </is>
      </c>
      <c r="B27" s="20" t="inlineStr">
        <is>
          <t>RW-260720-082503</t>
        </is>
      </c>
      <c r="C27" s="20" t="n">
        <v>223583</v>
      </c>
      <c r="D27" s="20" t="inlineStr">
        <is>
          <t>1750</t>
        </is>
      </c>
      <c r="E27" s="21" t="inlineStr">
        <is>
          <t>200 E - 29.125 x 14.5 - sheet 63x126</t>
        </is>
      </c>
      <c r="F27" s="21" t="inlineStr">
        <is>
          <t>Option 1</t>
        </is>
      </c>
      <c r="G27" s="22" t="n">
        <v>9763.91</v>
      </c>
      <c r="H27" s="22" t="n">
        <v>5459.44</v>
      </c>
      <c r="I27" s="22" t="n">
        <v>-4304.47</v>
      </c>
      <c r="J27" s="20" t="inlineStr">
        <is>
          <t>-44%</t>
        </is>
      </c>
      <c r="K27" s="23" t="inlineStr">
        <is>
          <t>FAIL</t>
        </is>
      </c>
      <c r="L27" s="20" t="inlineStr">
        <is>
          <t>Yes</t>
        </is>
      </c>
    </row>
    <row r="28">
      <c r="A28" s="20" t="inlineStr">
        <is>
          <t>J63240 - Sam's Club Filtration Pallet Display</t>
        </is>
      </c>
      <c r="B28" s="20" t="inlineStr">
        <is>
          <t>RW-260731-115427</t>
        </is>
      </c>
      <c r="C28" s="20" t="n">
        <v>223860</v>
      </c>
      <c r="D28" s="20" t="inlineStr">
        <is>
          <t>20, 56, 110, 272</t>
        </is>
      </c>
      <c r="E28" s="21" t="inlineStr">
        <is>
          <t>200 E - 59 x 50.156 - sheet 63x126 | 200 B - 45.125 x 53.125 - sheet 60x120 | 200 C - 46.188 x 54.188 - sheet 60x120 | 200 B - 47.375 x 46.5 - sheet 63x98</t>
        </is>
      </c>
      <c r="F28" s="21" t="inlineStr">
        <is>
          <t>Die Cut 2510223768</t>
        </is>
      </c>
      <c r="G28" s="22" t="n">
        <v>8571.190000000001</v>
      </c>
      <c r="H28" s="22" t="n">
        <v>9304.130000000001</v>
      </c>
      <c r="I28" s="22" t="n">
        <v>732.9400000000001</v>
      </c>
      <c r="J28" s="20" t="inlineStr">
        <is>
          <t>+9%</t>
        </is>
      </c>
      <c r="K28" s="24" t="inlineStr">
        <is>
          <t>PASS</t>
        </is>
      </c>
      <c r="L28" s="20" t="inlineStr">
        <is>
          <t>No</t>
        </is>
      </c>
    </row>
    <row r="29">
      <c r="A29" s="20" t="inlineStr">
        <is>
          <t>Kent Displays Mailer &amp; Insert</t>
        </is>
      </c>
      <c r="B29" s="20" t="inlineStr">
        <is>
          <t>RW-260706-094426</t>
        </is>
      </c>
      <c r="C29" s="20" t="n">
        <v>223488</v>
      </c>
      <c r="D29" s="20" t="inlineStr">
        <is>
          <t>300</t>
        </is>
      </c>
      <c r="E29" s="21" t="inlineStr">
        <is>
          <t>ECT 44 B - 24.375 x 23.25 - sheet 60x120 | ECT 44 B - 22.5 x 26.875 - sheet 60x120</t>
        </is>
      </c>
      <c r="F29" s="21" t="inlineStr">
        <is>
          <t>ALL 6 options</t>
        </is>
      </c>
      <c r="G29" s="22" t="n">
        <v>11498.62</v>
      </c>
      <c r="H29" s="22" t="n">
        <v>9354.25</v>
      </c>
      <c r="I29" s="22" t="n">
        <v>-2144.37</v>
      </c>
      <c r="J29" s="20" t="inlineStr">
        <is>
          <t>-19%</t>
        </is>
      </c>
      <c r="K29" s="25" t="inlineStr">
        <is>
          <t>REVIEW</t>
        </is>
      </c>
      <c r="L29" s="20" t="inlineStr">
        <is>
          <t>No</t>
        </is>
      </c>
    </row>
    <row r="30">
      <c r="A30" s="20" t="inlineStr">
        <is>
          <t>L'Oreal C15 LP COS ZUS01644 Inserts</t>
        </is>
      </c>
      <c r="B30" s="20" t="inlineStr">
        <is>
          <t>RW-260730-115948</t>
        </is>
      </c>
      <c r="C30" s="20" t="n">
        <v>223880</v>
      </c>
      <c r="D30" s="20" t="inlineStr">
        <is>
          <t>22000</t>
        </is>
      </c>
      <c r="E30" s="21" t="inlineStr">
        <is>
          <t>ECT 51 B/C - 7.75 x 1.25 - sheet 63.0x126.0</t>
        </is>
      </c>
      <c r="F30" s="21" t="inlineStr">
        <is>
          <t>CAD cut</t>
        </is>
      </c>
      <c r="G30" s="22" t="n">
        <v>2279.73</v>
      </c>
      <c r="H30" s="22" t="n">
        <v>3416.08</v>
      </c>
      <c r="I30" s="22" t="n">
        <v>1136.35</v>
      </c>
      <c r="J30" s="20" t="inlineStr">
        <is>
          <t>+50%</t>
        </is>
      </c>
      <c r="K30" s="23" t="inlineStr">
        <is>
          <t>FAIL</t>
        </is>
      </c>
      <c r="L30" s="20" t="inlineStr">
        <is>
          <t>Yes</t>
        </is>
      </c>
    </row>
    <row r="31">
      <c r="A31" s="20" t="inlineStr">
        <is>
          <t>MPC - Meijer Iams</t>
        </is>
      </c>
      <c r="B31" s="20" t="inlineStr">
        <is>
          <t>RW-260727-105300</t>
        </is>
      </c>
      <c r="C31" s="20" t="n">
        <v>223376</v>
      </c>
      <c r="D31" s="20" t="inlineStr">
        <is>
          <t>75, 150</t>
        </is>
      </c>
      <c r="E31" s="21" t="inlineStr">
        <is>
          <t>200 B - 41.5 x 44.125 - sheet 63x98 | 200 B - 37.812 x 41 - sheet 63x126</t>
        </is>
      </c>
      <c r="F31" s="21" t="inlineStr">
        <is>
          <t>Option 1</t>
        </is>
      </c>
      <c r="G31" s="22" t="n">
        <v>3134.12</v>
      </c>
      <c r="H31" s="22" t="n">
        <v>3328.39</v>
      </c>
      <c r="I31" s="22" t="n">
        <v>194.27</v>
      </c>
      <c r="J31" s="20" t="inlineStr">
        <is>
          <t>+6%</t>
        </is>
      </c>
      <c r="K31" s="24" t="inlineStr">
        <is>
          <t>PASS</t>
        </is>
      </c>
      <c r="L31" s="20" t="inlineStr">
        <is>
          <t>Yes</t>
        </is>
      </c>
    </row>
    <row r="32">
      <c r="A32" s="20" t="inlineStr">
        <is>
          <t>Mala Girl 3 Pak PDQ</t>
        </is>
      </c>
      <c r="B32" s="20" t="inlineStr">
        <is>
          <t>RW-260724-153643</t>
        </is>
      </c>
      <c r="C32" s="20" t="n">
        <v>223851</v>
      </c>
      <c r="D32" s="20" t="inlineStr">
        <is>
          <t>25</t>
        </is>
      </c>
      <c r="E32" s="21" t="inlineStr">
        <is>
          <t>200 B - 38.688 x 38.375 - sheet 60x120 | 200 B - 26.875 x 25.625 - sheet 60x120</t>
        </is>
      </c>
      <c r="F32" s="21" t="inlineStr">
        <is>
          <t>Option 1</t>
        </is>
      </c>
      <c r="G32" s="22" t="n">
        <v>1079.65</v>
      </c>
      <c r="H32" s="22" t="n">
        <v>1331.01</v>
      </c>
      <c r="I32" s="22" t="n">
        <v>251.36</v>
      </c>
      <c r="J32" s="20" t="inlineStr">
        <is>
          <t>+23%</t>
        </is>
      </c>
      <c r="K32" s="23" t="inlineStr">
        <is>
          <t>FAIL</t>
        </is>
      </c>
      <c r="L32" s="20" t="inlineStr">
        <is>
          <t>No</t>
        </is>
      </c>
    </row>
    <row r="33">
      <c r="A33" s="20" t="inlineStr">
        <is>
          <t>Natures Bounty Tray &amp; Graphic Block - J58302</t>
        </is>
      </c>
      <c r="B33" s="20" t="inlineStr">
        <is>
          <t>RW-260727-093930</t>
        </is>
      </c>
      <c r="C33" s="20" t="n">
        <v>223538</v>
      </c>
      <c r="D33" s="20" t="inlineStr">
        <is>
          <t>350</t>
        </is>
      </c>
      <c r="E33" s="21" t="inlineStr">
        <is>
          <t>200 B - 30.125 x 52 - sheet 63x126 | 200 B - 23.062 x 36.625 - sheet 60x120</t>
        </is>
      </c>
      <c r="F33" s="21" t="inlineStr">
        <is>
          <t>CAD Cut ALL</t>
        </is>
      </c>
      <c r="G33" s="22" t="n">
        <v>6766.74</v>
      </c>
      <c r="H33" s="22" t="n">
        <v>6388.33</v>
      </c>
      <c r="I33" s="22" t="n">
        <v>-378.41</v>
      </c>
      <c r="J33" s="20" t="inlineStr">
        <is>
          <t>-6%</t>
        </is>
      </c>
      <c r="K33" s="24" t="inlineStr">
        <is>
          <t>PASS</t>
        </is>
      </c>
      <c r="L33" s="20" t="inlineStr">
        <is>
          <t>Yes</t>
        </is>
      </c>
    </row>
    <row r="34">
      <c r="A34" s="20" t="inlineStr">
        <is>
          <t>New Piston Kit</t>
        </is>
      </c>
      <c r="B34" s="20" t="inlineStr">
        <is>
          <t>RW-260721-135500</t>
        </is>
      </c>
      <c r="C34" s="20" t="n">
        <v>223597</v>
      </c>
      <c r="D34" s="20" t="inlineStr">
        <is>
          <t>250</t>
        </is>
      </c>
      <c r="E34" s="21" t="inlineStr">
        <is>
          <t>200 B - 35.562 x 32.375 - sheet 60x120</t>
        </is>
      </c>
      <c r="F34" s="21" t="inlineStr">
        <is>
          <t>Option 1</t>
        </is>
      </c>
      <c r="G34" s="22" t="n">
        <v>2749.42</v>
      </c>
      <c r="H34" s="22" t="n">
        <v>3176.43</v>
      </c>
      <c r="I34" s="22" t="n">
        <v>427.01</v>
      </c>
      <c r="J34" s="20" t="inlineStr">
        <is>
          <t>+16%</t>
        </is>
      </c>
      <c r="K34" s="25" t="inlineStr">
        <is>
          <t>REVIEW</t>
        </is>
      </c>
      <c r="L34" s="20" t="inlineStr">
        <is>
          <t>Yes</t>
        </is>
      </c>
    </row>
    <row r="35">
      <c r="A35" s="20" t="inlineStr">
        <is>
          <t>New Piston Kit</t>
        </is>
      </c>
      <c r="B35" s="20" t="inlineStr">
        <is>
          <t>RW-260730-155412</t>
        </is>
      </c>
      <c r="C35" s="20" t="n">
        <v>223597</v>
      </c>
      <c r="D35" s="20" t="inlineStr">
        <is>
          <t>250</t>
        </is>
      </c>
      <c r="E35" s="21" t="inlineStr">
        <is>
          <t>200 B - 35.562 x 32.375 - sheet 60x120</t>
        </is>
      </c>
      <c r="F35" s="21" t="inlineStr">
        <is>
          <t>Option 1</t>
        </is>
      </c>
      <c r="G35" s="22" t="n">
        <v>2749.42</v>
      </c>
      <c r="H35" s="22" t="n">
        <v>3071.43</v>
      </c>
      <c r="I35" s="22" t="n">
        <v>322.01</v>
      </c>
      <c r="J35" s="20" t="inlineStr">
        <is>
          <t>+12%</t>
        </is>
      </c>
      <c r="K35" s="25" t="inlineStr">
        <is>
          <t>REVIEW</t>
        </is>
      </c>
      <c r="L35" s="20" t="inlineStr">
        <is>
          <t>Yes</t>
        </is>
      </c>
    </row>
    <row r="36">
      <c r="A36" s="20" t="inlineStr">
        <is>
          <t>PKG153007274 DLN29676</t>
        </is>
      </c>
      <c r="B36" s="20" t="inlineStr">
        <is>
          <t>RW-260629-132636</t>
        </is>
      </c>
      <c r="C36" s="20" t="n">
        <v>223389</v>
      </c>
      <c r="D36" s="20" t="inlineStr">
        <is>
          <t>1700</t>
        </is>
      </c>
      <c r="E36" s="21" t="inlineStr">
        <is>
          <t>ECT 32 B - 26 x 10.5 - sheet 60x120</t>
        </is>
      </c>
      <c r="F36" s="21" t="inlineStr">
        <is>
          <t>Option 1</t>
        </is>
      </c>
      <c r="G36" s="22" t="n">
        <v>4029.71</v>
      </c>
      <c r="H36" s="22" t="n">
        <v>2768.73</v>
      </c>
      <c r="I36" s="22" t="n">
        <v>-1260.98</v>
      </c>
      <c r="J36" s="20" t="inlineStr">
        <is>
          <t>-31%</t>
        </is>
      </c>
      <c r="K36" s="23" t="inlineStr">
        <is>
          <t>FAIL</t>
        </is>
      </c>
      <c r="L36" s="20" t="inlineStr">
        <is>
          <t>No</t>
        </is>
      </c>
    </row>
    <row r="37">
      <c r="A37" s="20" t="inlineStr">
        <is>
          <t>PO 47928 / MTD 645-90566A</t>
        </is>
      </c>
      <c r="B37" s="20" t="inlineStr">
        <is>
          <t>RW-260623-091031</t>
        </is>
      </c>
      <c r="C37" s="20" t="n">
        <v>223207</v>
      </c>
      <c r="D37" s="20" t="inlineStr">
        <is>
          <t>210</t>
        </is>
      </c>
      <c r="E37" s="21" t="inlineStr">
        <is>
          <t>ECT 44 B - 28.375 x 36.688 - sheet 60x120</t>
        </is>
      </c>
      <c r="F37" s="21" t="inlineStr">
        <is>
          <t>CAD Cut - FRO over 12 hours cutting</t>
        </is>
      </c>
      <c r="G37" s="22" t="n">
        <v>1826.19</v>
      </c>
      <c r="H37" s="22" t="n">
        <v>1752.51</v>
      </c>
      <c r="I37" s="22" t="n">
        <v>-73.68000000000001</v>
      </c>
      <c r="J37" s="20" t="inlineStr">
        <is>
          <t>-4%</t>
        </is>
      </c>
      <c r="K37" s="24" t="inlineStr">
        <is>
          <t>PASS</t>
        </is>
      </c>
      <c r="L37" s="20" t="inlineStr">
        <is>
          <t>Yes</t>
        </is>
      </c>
    </row>
    <row r="38">
      <c r="A38" s="20" t="inlineStr">
        <is>
          <t>Power Prep Mixer 01.27.2025</t>
        </is>
      </c>
      <c r="B38" s="20" t="inlineStr">
        <is>
          <t>RW-260727-090826</t>
        </is>
      </c>
      <c r="C38" s="20" t="n">
        <v>223590</v>
      </c>
      <c r="D38" s="20" t="inlineStr">
        <is>
          <t>50</t>
        </is>
      </c>
      <c r="E38" s="21" t="inlineStr">
        <is>
          <t>200 C - 29.875 x 53.25 - sheet 63x126</t>
        </is>
      </c>
      <c r="F38" s="21" t="inlineStr">
        <is>
          <t>Option 1</t>
        </is>
      </c>
      <c r="G38" s="22" t="n">
        <v>724.2</v>
      </c>
      <c r="H38" s="22" t="n">
        <v>1050.73</v>
      </c>
      <c r="I38" s="22" t="n">
        <v>326.53</v>
      </c>
      <c r="J38" s="20" t="inlineStr">
        <is>
          <t>+45%</t>
        </is>
      </c>
      <c r="K38" s="23" t="inlineStr">
        <is>
          <t>FAIL</t>
        </is>
      </c>
      <c r="L38" s="20" t="inlineStr">
        <is>
          <t>Yes</t>
        </is>
      </c>
    </row>
    <row r="39">
      <c r="A39" s="20" t="inlineStr">
        <is>
          <t>Power Prep Mixer 01.27.2025</t>
        </is>
      </c>
      <c r="B39" s="20" t="inlineStr">
        <is>
          <t>RW-260727-090826</t>
        </is>
      </c>
      <c r="C39" s="20" t="n">
        <v>223590</v>
      </c>
      <c r="D39" s="20" t="inlineStr">
        <is>
          <t>100</t>
        </is>
      </c>
      <c r="E39" s="21" t="inlineStr">
        <is>
          <t>200 C - 29.875 x 53.25 - sheet 63x126</t>
        </is>
      </c>
      <c r="F39" s="21" t="inlineStr">
        <is>
          <t>Option 1</t>
        </is>
      </c>
      <c r="G39" s="22" t="n">
        <v>1230.77</v>
      </c>
      <c r="H39" s="22" t="n">
        <v>1361.8</v>
      </c>
      <c r="I39" s="22" t="n">
        <v>131.03</v>
      </c>
      <c r="J39" s="20" t="inlineStr">
        <is>
          <t>+11%</t>
        </is>
      </c>
      <c r="K39" s="25" t="inlineStr">
        <is>
          <t>REVIEW</t>
        </is>
      </c>
      <c r="L39" s="20" t="inlineStr">
        <is>
          <t>Yes</t>
        </is>
      </c>
    </row>
    <row r="40">
      <c r="A40" s="20" t="inlineStr">
        <is>
          <t>Project ID#128013</t>
        </is>
      </c>
      <c r="B40" s="20" t="inlineStr">
        <is>
          <t>RW-260629-131349</t>
        </is>
      </c>
      <c r="C40" s="20" t="n">
        <v>223408</v>
      </c>
      <c r="D40" s="20" t="inlineStr">
        <is>
          <t>525</t>
        </is>
      </c>
      <c r="E40" s="21" t="inlineStr">
        <is>
          <t>200 B - 20.625 x 17.75 - sheet 60x120</t>
        </is>
      </c>
      <c r="F40" s="21" t="inlineStr">
        <is>
          <t>Option 1</t>
        </is>
      </c>
      <c r="G40" s="22" t="n">
        <v>2452.48</v>
      </c>
      <c r="H40" s="22" t="n">
        <v>2634.69</v>
      </c>
      <c r="I40" s="22" t="n">
        <v>182.21</v>
      </c>
      <c r="J40" s="20" t="inlineStr">
        <is>
          <t>+7%</t>
        </is>
      </c>
      <c r="K40" s="24" t="inlineStr">
        <is>
          <t>PASS</t>
        </is>
      </c>
      <c r="L40" s="20" t="inlineStr">
        <is>
          <t>No</t>
        </is>
      </c>
    </row>
    <row r="41">
      <c r="A41" s="20" t="inlineStr">
        <is>
          <t>RFQ Scotts 07-09-26</t>
        </is>
      </c>
      <c r="B41" s="20" t="inlineStr">
        <is>
          <t>RW-260722-085112</t>
        </is>
      </c>
      <c r="C41" s="20" t="n">
        <v>223596</v>
      </c>
      <c r="D41" s="20" t="inlineStr">
        <is>
          <t>700, 1000</t>
        </is>
      </c>
      <c r="E41" s="21" t="inlineStr">
        <is>
          <t>ECT 44 C - 8.875 x 77 - sheet 60x120 | ECT 44 C - 8.875 x 84 - sheet 60x120</t>
        </is>
      </c>
      <c r="F41" s="21" t="inlineStr">
        <is>
          <t>DieCut</t>
        </is>
      </c>
      <c r="G41" s="22" t="n">
        <v>9299.35</v>
      </c>
      <c r="H41" s="22" t="n">
        <v>7869.86</v>
      </c>
      <c r="I41" s="22" t="n">
        <v>-1429.49</v>
      </c>
      <c r="J41" s="20" t="inlineStr">
        <is>
          <t>-15%</t>
        </is>
      </c>
      <c r="K41" s="25" t="inlineStr">
        <is>
          <t>REVIEW</t>
        </is>
      </c>
      <c r="L41" s="20" t="inlineStr">
        <is>
          <t>Yes</t>
        </is>
      </c>
    </row>
    <row r="42">
      <c r="A42" s="20" t="inlineStr">
        <is>
          <t>Re-Frame Display - Walmart (HOT Prototype)</t>
        </is>
      </c>
      <c r="B42" s="20" t="inlineStr">
        <is>
          <t>RW-260717-111921</t>
        </is>
      </c>
      <c r="C42" s="20" t="n">
        <v>223706</v>
      </c>
      <c r="D42" s="20" t="inlineStr">
        <is>
          <t>2, 4, 8</t>
        </is>
      </c>
      <c r="E42" s="21" t="inlineStr">
        <is>
          <t>ECT 32 B - 44 x 76.25 - sheet 63x98 | ECT 32 B - 31.625 x 29.062 - sheet 60x120 | 200 B - 66.375 x 50.875 - sheet 97.0x60.0 | ECT 32 B - 34.812 x 69.625 - sheet 63x98 | ECT 32 B - 12.5 x 47.5 - sheet 63x63 | ECT 32 E - 18.5 x 41.5 - sheet 63x63</t>
        </is>
      </c>
      <c r="F42" s="21" t="inlineStr">
        <is>
          <t>Option 1</t>
        </is>
      </c>
      <c r="G42" s="22" t="n">
        <v>1803.46</v>
      </c>
      <c r="H42" s="22" t="n">
        <v>2845.190000000001</v>
      </c>
      <c r="I42" s="22" t="n">
        <v>1041.73</v>
      </c>
      <c r="J42" s="20" t="inlineStr">
        <is>
          <t>+58%</t>
        </is>
      </c>
      <c r="K42" s="23" t="inlineStr">
        <is>
          <t>FAIL</t>
        </is>
      </c>
      <c r="L42" s="20" t="inlineStr">
        <is>
          <t>No</t>
        </is>
      </c>
    </row>
    <row r="43">
      <c r="A43" s="20" t="inlineStr">
        <is>
          <t>Schaeffler Vehicle Lifetime P-17-EC-K251 87X87X43-INA Schachtel TEST</t>
        </is>
      </c>
      <c r="B43" s="20" t="inlineStr">
        <is>
          <t>RW-260720-134257</t>
        </is>
      </c>
      <c r="C43" s="20" t="n">
        <v>223689</v>
      </c>
      <c r="D43" s="20" t="inlineStr">
        <is>
          <t>700</t>
        </is>
      </c>
      <c r="E43" s="21" t="inlineStr">
        <is>
          <t>200 B - 21.312 x 35.875 - sheet 60x120</t>
        </is>
      </c>
      <c r="F43" s="21" t="inlineStr">
        <is>
          <t>Die Cut</t>
        </is>
      </c>
      <c r="G43" s="22" t="n">
        <v>4904.67</v>
      </c>
      <c r="H43" s="22" t="n">
        <v>5753.95</v>
      </c>
      <c r="I43" s="22" t="n">
        <v>849.28</v>
      </c>
      <c r="J43" s="20" t="inlineStr">
        <is>
          <t>+17%</t>
        </is>
      </c>
      <c r="K43" s="25" t="inlineStr">
        <is>
          <t>REVIEW</t>
        </is>
      </c>
      <c r="L43" s="20" t="inlineStr">
        <is>
          <t>No</t>
        </is>
      </c>
    </row>
    <row r="44">
      <c r="A44" s="20" t="inlineStr">
        <is>
          <t>SpectroDolce - Fudge Tray Display</t>
        </is>
      </c>
      <c r="B44" s="20" t="inlineStr">
        <is>
          <t>RW-260730-155953</t>
        </is>
      </c>
      <c r="C44" s="20" t="n">
        <v>223882</v>
      </c>
      <c r="D44" s="20" t="inlineStr">
        <is>
          <t>500</t>
        </is>
      </c>
      <c r="E44" s="21" t="inlineStr">
        <is>
          <t>200 E - 15.875 x 20.375 - sheet 63x126</t>
        </is>
      </c>
      <c r="F44" s="21" t="inlineStr">
        <is>
          <t>Option 1  CAD cut</t>
        </is>
      </c>
      <c r="G44" s="22" t="n">
        <v>1961.23</v>
      </c>
      <c r="H44" s="22" t="n">
        <v>2444.65</v>
      </c>
      <c r="I44" s="22" t="n">
        <v>483.42</v>
      </c>
      <c r="J44" s="20" t="inlineStr">
        <is>
          <t>+25%</t>
        </is>
      </c>
      <c r="K44" s="23" t="inlineStr">
        <is>
          <t>FAIL</t>
        </is>
      </c>
      <c r="L44" s="20" t="inlineStr">
        <is>
          <t>No</t>
        </is>
      </c>
    </row>
    <row r="45">
      <c r="A45" s="20" t="inlineStr">
        <is>
          <t>SpectroDolce - Fudge Tray Display</t>
        </is>
      </c>
      <c r="B45" s="20" t="inlineStr">
        <is>
          <t>RW-260730-155953</t>
        </is>
      </c>
      <c r="C45" s="20" t="n">
        <v>223882</v>
      </c>
      <c r="D45" s="20" t="inlineStr">
        <is>
          <t>1000</t>
        </is>
      </c>
      <c r="E45" s="21" t="inlineStr">
        <is>
          <t>200 E - 15.875 x 20.375 - sheet 63x126</t>
        </is>
      </c>
      <c r="F45" s="21" t="inlineStr">
        <is>
          <t>Option 1  CAD cut</t>
        </is>
      </c>
      <c r="G45" s="22" t="n">
        <v>3441.27</v>
      </c>
      <c r="H45" s="22" t="n">
        <v>3801.67</v>
      </c>
      <c r="I45" s="22" t="n">
        <v>360.4</v>
      </c>
      <c r="J45" s="20" t="inlineStr">
        <is>
          <t>+10%</t>
        </is>
      </c>
      <c r="K45" s="25" t="inlineStr">
        <is>
          <t>REVIEW</t>
        </is>
      </c>
      <c r="L45" s="20" t="inlineStr">
        <is>
          <t>No</t>
        </is>
      </c>
    </row>
    <row r="46">
      <c r="A46" s="20" t="inlineStr">
        <is>
          <t>Strat Pro Buttermelt PDQ - 2nd Grouping</t>
        </is>
      </c>
      <c r="B46" s="20" t="inlineStr">
        <is>
          <t>RW-260622-133707</t>
        </is>
      </c>
      <c r="C46" s="20" t="n">
        <v>222085</v>
      </c>
      <c r="D46" s="20" t="inlineStr">
        <is>
          <t>515</t>
        </is>
      </c>
      <c r="E46" s="21" t="inlineStr">
        <is>
          <t>200 E - 28.625 x 25.5 - sheet 60x120 | 200 C - 18.125 x 25.125 - sheet 60x120 | 200 C - 12.125 x 11.438 - sheet 63x126</t>
        </is>
      </c>
      <c r="F46" s="21" t="inlineStr">
        <is>
          <t>RSC/Filler/Tray</t>
        </is>
      </c>
      <c r="G46" s="22" t="n">
        <v>8118.469999999999</v>
      </c>
      <c r="H46" s="22" t="n">
        <v>6535.47</v>
      </c>
      <c r="I46" s="22" t="n">
        <v>-1583</v>
      </c>
      <c r="J46" s="20" t="inlineStr">
        <is>
          <t>-20%</t>
        </is>
      </c>
      <c r="K46" s="25" t="inlineStr">
        <is>
          <t>REVIEW</t>
        </is>
      </c>
      <c r="L46" s="20" t="inlineStr">
        <is>
          <t>No</t>
        </is>
      </c>
    </row>
    <row r="47">
      <c r="A47" s="20" t="inlineStr">
        <is>
          <t>TR-10351 16x8.5x6</t>
        </is>
      </c>
      <c r="B47" s="20" t="inlineStr">
        <is>
          <t>RW-260720-133223</t>
        </is>
      </c>
      <c r="C47" s="20" t="n">
        <v>223701</v>
      </c>
      <c r="D47" s="20" t="inlineStr">
        <is>
          <t>50</t>
        </is>
      </c>
      <c r="E47" s="21" t="inlineStr">
        <is>
          <t>200 E - 41.375 x 35.312 - sheet 60x120 | 200 E - 30.375 x 27.062 - sheet 63x126</t>
        </is>
      </c>
      <c r="F47" s="21" t="inlineStr">
        <is>
          <t>Option 1</t>
        </is>
      </c>
      <c r="G47" s="22" t="n">
        <v>2142.17</v>
      </c>
      <c r="H47" s="22" t="n">
        <v>2289.83</v>
      </c>
      <c r="I47" s="22" t="n">
        <v>147.66</v>
      </c>
      <c r="J47" s="20" t="inlineStr">
        <is>
          <t>+7%</t>
        </is>
      </c>
      <c r="K47" s="24" t="inlineStr">
        <is>
          <t>PASS</t>
        </is>
      </c>
      <c r="L47" s="20" t="inlineStr">
        <is>
          <t>No</t>
        </is>
      </c>
    </row>
    <row r="48">
      <c r="A48" s="20" t="inlineStr">
        <is>
          <t>TR-10351 16x8.5x6</t>
        </is>
      </c>
      <c r="B48" s="20" t="inlineStr">
        <is>
          <t>RW-260720-133223</t>
        </is>
      </c>
      <c r="C48" s="20" t="n">
        <v>223701</v>
      </c>
      <c r="D48" s="20" t="inlineStr">
        <is>
          <t>100</t>
        </is>
      </c>
      <c r="E48" s="21" t="inlineStr">
        <is>
          <t>200 E - 41.375 x 35.312 - sheet 60x120 | 200 E - 30.375 x 27.062 - sheet 63x126</t>
        </is>
      </c>
      <c r="F48" s="21" t="inlineStr">
        <is>
          <t>Option 1</t>
        </is>
      </c>
      <c r="G48" s="22" t="n">
        <v>3463.91</v>
      </c>
      <c r="H48" s="22" t="n">
        <v>3196.39</v>
      </c>
      <c r="I48" s="22" t="n">
        <v>-267.52</v>
      </c>
      <c r="J48" s="20" t="inlineStr">
        <is>
          <t>-8%</t>
        </is>
      </c>
      <c r="K48" s="24" t="inlineStr">
        <is>
          <t>PASS</t>
        </is>
      </c>
      <c r="L48" s="20" t="inlineStr">
        <is>
          <t>No</t>
        </is>
      </c>
    </row>
    <row r="49">
      <c r="A49" s="20" t="inlineStr">
        <is>
          <t>TR-10351 16x8.5x6</t>
        </is>
      </c>
      <c r="B49" s="20" t="inlineStr">
        <is>
          <t>RW-260720-133223</t>
        </is>
      </c>
      <c r="C49" s="20" t="n">
        <v>223701</v>
      </c>
      <c r="D49" s="20" t="inlineStr">
        <is>
          <t>200</t>
        </is>
      </c>
      <c r="E49" s="21" t="inlineStr">
        <is>
          <t>200 E - 41.375 x 35.312 - sheet 60x120 | 200 E - 30.375 x 27.062 - sheet 63x126</t>
        </is>
      </c>
      <c r="F49" s="21" t="inlineStr">
        <is>
          <t>Option 1</t>
        </is>
      </c>
      <c r="G49" s="22" t="n">
        <v>5894.43</v>
      </c>
      <c r="H49" s="22" t="n">
        <v>4862.41</v>
      </c>
      <c r="I49" s="22" t="n">
        <v>-1032.02</v>
      </c>
      <c r="J49" s="20" t="inlineStr">
        <is>
          <t>-18%</t>
        </is>
      </c>
      <c r="K49" s="25" t="inlineStr">
        <is>
          <t>REVIEW</t>
        </is>
      </c>
      <c r="L49" s="20" t="inlineStr">
        <is>
          <t>No</t>
        </is>
      </c>
    </row>
    <row r="50">
      <c r="A50" s="20" t="inlineStr">
        <is>
          <t>TSC Holiday Iams Cat Mixed Full Pallet</t>
        </is>
      </c>
      <c r="B50" s="20" t="inlineStr">
        <is>
          <t>RW-260720-083107</t>
        </is>
      </c>
      <c r="C50" s="20" t="n">
        <v>223752</v>
      </c>
      <c r="D50" s="20" t="inlineStr">
        <is>
          <t>600</t>
        </is>
      </c>
      <c r="E50" s="21" t="inlineStr">
        <is>
          <t>ECT 44 B - 44 x 16.5 - sheet 60x120</t>
        </is>
      </c>
      <c r="F50" s="21" t="inlineStr">
        <is>
          <t>Option 1</t>
        </is>
      </c>
      <c r="G50" s="22" t="n">
        <v>2931.56</v>
      </c>
      <c r="H50" s="22" t="n">
        <v>3418.16</v>
      </c>
      <c r="I50" s="22" t="n">
        <v>486.6</v>
      </c>
      <c r="J50" s="20" t="inlineStr">
        <is>
          <t>+17%</t>
        </is>
      </c>
      <c r="K50" s="25" t="inlineStr">
        <is>
          <t>REVIEW</t>
        </is>
      </c>
      <c r="L50" s="20" t="inlineStr">
        <is>
          <t>No</t>
        </is>
      </c>
    </row>
    <row r="51">
      <c r="A51" s="20" t="inlineStr">
        <is>
          <t>Tank Holdings - 110 lb. Tow Spreader</t>
        </is>
      </c>
      <c r="B51" s="20" t="inlineStr">
        <is>
          <t>RW-260731-133402</t>
        </is>
      </c>
      <c r="C51" s="20" t="n">
        <v>223855</v>
      </c>
      <c r="D51" s="20" t="inlineStr">
        <is>
          <t>85</t>
        </is>
      </c>
      <c r="E51" s="21" t="inlineStr">
        <is>
          <t>275 DW B/C - 40.25 x 122.125 - sheet 42.25x124.125</t>
        </is>
      </c>
      <c r="F51" s="21" t="inlineStr">
        <is>
          <t>275# DW BC-Flute</t>
        </is>
      </c>
      <c r="G51" s="22" t="n">
        <v>1832.86</v>
      </c>
      <c r="H51" s="22" t="n">
        <v>5455.38</v>
      </c>
      <c r="I51" s="22" t="n">
        <v>3622.52</v>
      </c>
      <c r="J51" s="20" t="inlineStr">
        <is>
          <t>+198%</t>
        </is>
      </c>
      <c r="K51" s="23" t="inlineStr">
        <is>
          <t>FAIL</t>
        </is>
      </c>
      <c r="L51" s="20" t="inlineStr">
        <is>
          <t>No</t>
        </is>
      </c>
    </row>
    <row r="52">
      <c r="A52" s="20" t="inlineStr">
        <is>
          <t>Trad Favorites</t>
        </is>
      </c>
      <c r="B52" s="20" t="inlineStr">
        <is>
          <t>RW-260720-112723</t>
        </is>
      </c>
      <c r="C52" s="20" t="n">
        <v>223707</v>
      </c>
      <c r="D52" s="20" t="inlineStr">
        <is>
          <t>1300</t>
        </is>
      </c>
      <c r="E52" s="21" t="inlineStr">
        <is>
          <t>200 E - 23.812 x 17.062 - sheet 63x126</t>
        </is>
      </c>
      <c r="F52" s="21" t="inlineStr">
        <is>
          <t>Option 1</t>
        </is>
      </c>
      <c r="G52" s="22" t="n">
        <v>5528.87</v>
      </c>
      <c r="H52" s="22" t="n">
        <v>3661.24</v>
      </c>
      <c r="I52" s="22" t="n">
        <v>-1867.63</v>
      </c>
      <c r="J52" s="20" t="inlineStr">
        <is>
          <t>-34%</t>
        </is>
      </c>
      <c r="K52" s="23" t="inlineStr">
        <is>
          <t>FAIL</t>
        </is>
      </c>
      <c r="L52" s="20" t="inlineStr">
        <is>
          <t>No</t>
        </is>
      </c>
    </row>
    <row r="53">
      <c r="A53" s="20" t="inlineStr">
        <is>
          <t>Vitamix 154042 POP - 2pc / 154727</t>
        </is>
      </c>
      <c r="B53" s="20" t="inlineStr">
        <is>
          <t>RW-260720-132349</t>
        </is>
      </c>
      <c r="C53" s="20" t="n">
        <v>223702</v>
      </c>
      <c r="D53" s="20" t="inlineStr">
        <is>
          <t>250</t>
        </is>
      </c>
      <c r="E53" s="21" t="inlineStr">
        <is>
          <t>200 B - 43.812 x 44.125 - sheet 60x120 | 200 B - 45.5 x 44.125 - sheet 60x120</t>
        </is>
      </c>
      <c r="F53" s="21" t="inlineStr">
        <is>
          <t>Die</t>
        </is>
      </c>
      <c r="G53" s="22" t="n">
        <v>9166.92</v>
      </c>
      <c r="H53" s="22" t="n">
        <v>7534.84</v>
      </c>
      <c r="I53" s="22" t="n">
        <v>-1632.08</v>
      </c>
      <c r="J53" s="20" t="inlineStr">
        <is>
          <t>-18%</t>
        </is>
      </c>
      <c r="K53" s="25" t="inlineStr">
        <is>
          <t>REVIEW</t>
        </is>
      </c>
      <c r="L53" s="20" t="inlineStr">
        <is>
          <t>No</t>
        </is>
      </c>
    </row>
    <row r="54">
      <c r="A54" s="20" t="inlineStr">
        <is>
          <t>Vitamix 154042 POP - 2pc / 154727</t>
        </is>
      </c>
      <c r="B54" s="20" t="inlineStr">
        <is>
          <t>RW-260720-132349</t>
        </is>
      </c>
      <c r="C54" s="20" t="n">
        <v>223702</v>
      </c>
      <c r="D54" s="20" t="inlineStr">
        <is>
          <t>500</t>
        </is>
      </c>
      <c r="E54" s="21" t="inlineStr">
        <is>
          <t>200 B - 43.812 x 44.125 - sheet 60x120 | 200 B - 45.5 x 44.125 - sheet 60x120</t>
        </is>
      </c>
      <c r="F54" s="21" t="inlineStr">
        <is>
          <t>Die</t>
        </is>
      </c>
      <c r="G54" s="22" t="n">
        <v>14908.08</v>
      </c>
      <c r="H54" s="22" t="n">
        <v>13790.46</v>
      </c>
      <c r="I54" s="22" t="n">
        <v>-1117.62</v>
      </c>
      <c r="J54" s="20" t="inlineStr">
        <is>
          <t>-8%</t>
        </is>
      </c>
      <c r="K54" s="24" t="inlineStr">
        <is>
          <t>PASS</t>
        </is>
      </c>
      <c r="L54" s="20" t="inlineStr">
        <is>
          <t>No</t>
        </is>
      </c>
    </row>
    <row r="55">
      <c r="A55" s="20" t="inlineStr">
        <is>
          <t>Vitamix digital pricing for orders</t>
        </is>
      </c>
      <c r="B55" s="20" t="inlineStr">
        <is>
          <t>RW-260722-082345</t>
        </is>
      </c>
      <c r="C55" s="20" t="n">
        <v>223591</v>
      </c>
      <c r="D55" s="20" t="inlineStr">
        <is>
          <t>250</t>
        </is>
      </c>
      <c r="E55" s="21" t="inlineStr">
        <is>
          <t>200 C - 29.625 x 76 - sheet 60x120</t>
        </is>
      </c>
      <c r="F55" s="21" t="inlineStr">
        <is>
          <t>Die Cut - for production purposes</t>
        </is>
      </c>
      <c r="G55" s="22" t="n">
        <v>6549.08</v>
      </c>
      <c r="H55" s="22" t="n">
        <v>6773.57</v>
      </c>
      <c r="I55" s="22" t="n">
        <v>224.49</v>
      </c>
      <c r="J55" s="20" t="inlineStr">
        <is>
          <t>+3%</t>
        </is>
      </c>
      <c r="K55" s="24" t="inlineStr">
        <is>
          <t>PASS</t>
        </is>
      </c>
      <c r="L55" s="20" t="inlineStr">
        <is>
          <t>Yes</t>
        </is>
      </c>
    </row>
    <row r="56">
      <c r="A56" s="20" t="inlineStr">
        <is>
          <t>Vitamix digital pricing for orders</t>
        </is>
      </c>
      <c r="B56" s="20" t="inlineStr">
        <is>
          <t>RW-260722-082345</t>
        </is>
      </c>
      <c r="C56" s="20" t="n">
        <v>223591</v>
      </c>
      <c r="D56" s="20" t="inlineStr">
        <is>
          <t>300</t>
        </is>
      </c>
      <c r="E56" s="21" t="inlineStr">
        <is>
          <t>200 C - 29.625 x 76 - sheet 60x120</t>
        </is>
      </c>
      <c r="F56" s="21" t="inlineStr">
        <is>
          <t>Die Cut - for production purposes</t>
        </is>
      </c>
      <c r="G56" s="22" t="n">
        <v>7577.35</v>
      </c>
      <c r="H56" s="22" t="n">
        <v>8044.68</v>
      </c>
      <c r="I56" s="22" t="n">
        <v>467.33</v>
      </c>
      <c r="J56" s="20" t="inlineStr">
        <is>
          <t>+6%</t>
        </is>
      </c>
      <c r="K56" s="24" t="inlineStr">
        <is>
          <t>PASS</t>
        </is>
      </c>
      <c r="L56" s="20" t="inlineStr">
        <is>
          <t>Yes</t>
        </is>
      </c>
    </row>
    <row r="57">
      <c r="A57" s="20" t="inlineStr">
        <is>
          <t>Walmart Sidekick Display - Lubrication Specialties (Hot Shot's Secret)</t>
        </is>
      </c>
      <c r="B57" s="20" t="inlineStr">
        <is>
          <t>RW-260731-113050</t>
        </is>
      </c>
      <c r="C57" s="20" t="n">
        <v>223878</v>
      </c>
      <c r="D57" s="20" t="inlineStr">
        <is>
          <t>250</t>
        </is>
      </c>
      <c r="E57" s="21" t="inlineStr">
        <is>
          <t>ECT 44 E - 24 x 33.75 - sheet 60x120</t>
        </is>
      </c>
      <c r="F57" s="21" t="inlineStr">
        <is>
          <t>Option 1</t>
        </is>
      </c>
      <c r="G57" s="22" t="n">
        <v>1156.94</v>
      </c>
      <c r="H57" s="22" t="n">
        <v>1520.76</v>
      </c>
      <c r="I57" s="22" t="n">
        <v>363.82</v>
      </c>
      <c r="J57" s="20" t="inlineStr">
        <is>
          <t>+31%</t>
        </is>
      </c>
      <c r="K57" s="23" t="inlineStr">
        <is>
          <t>FAIL</t>
        </is>
      </c>
      <c r="L57" s="20" t="inlineStr">
        <is>
          <t>No</t>
        </is>
      </c>
    </row>
    <row r="58">
      <c r="A58" s="20" t="inlineStr">
        <is>
          <t>Walmart Sidekick Display - Lubrication Specialties (Hot Shot's Secret)</t>
        </is>
      </c>
      <c r="B58" s="20" t="inlineStr">
        <is>
          <t>RW-260731-113050</t>
        </is>
      </c>
      <c r="C58" s="20" t="n">
        <v>223878</v>
      </c>
      <c r="D58" s="20" t="inlineStr">
        <is>
          <t>500</t>
        </is>
      </c>
      <c r="E58" s="21" t="inlineStr">
        <is>
          <t>ECT 44 E - 24 x 33.75 - sheet 60x120</t>
        </is>
      </c>
      <c r="F58" s="21" t="inlineStr">
        <is>
          <t>Option 1</t>
        </is>
      </c>
      <c r="G58" s="22" t="n">
        <v>1979.54</v>
      </c>
      <c r="H58" s="22" t="n">
        <v>2590.76</v>
      </c>
      <c r="I58" s="22" t="n">
        <v>611.22</v>
      </c>
      <c r="J58" s="20" t="inlineStr">
        <is>
          <t>+31%</t>
        </is>
      </c>
      <c r="K58" s="23" t="inlineStr">
        <is>
          <t>FAIL</t>
        </is>
      </c>
      <c r="L58" s="20" t="inlineStr">
        <is>
          <t>No</t>
        </is>
      </c>
    </row>
    <row r="59">
      <c r="A59" s="20" t="inlineStr">
        <is>
          <t>Walmart Sidekick Display - Lubrication Specialties (Hot Shot's Secret)</t>
        </is>
      </c>
      <c r="B59" s="20" t="inlineStr">
        <is>
          <t>RW-260731-113050</t>
        </is>
      </c>
      <c r="C59" s="20" t="n">
        <v>223878</v>
      </c>
      <c r="D59" s="20" t="inlineStr">
        <is>
          <t>1000</t>
        </is>
      </c>
      <c r="E59" s="21" t="inlineStr">
        <is>
          <t>ECT 32 E - 5 x 13.938 - sheet 63x126</t>
        </is>
      </c>
      <c r="F59" s="21" t="inlineStr">
        <is>
          <t>Option 1</t>
        </is>
      </c>
      <c r="G59" s="22" t="n">
        <v>820.61</v>
      </c>
      <c r="H59" s="22" t="n">
        <v>1065.2</v>
      </c>
      <c r="I59" s="22" t="n">
        <v>244.59</v>
      </c>
      <c r="J59" s="20" t="inlineStr">
        <is>
          <t>+30%</t>
        </is>
      </c>
      <c r="K59" s="23" t="inlineStr">
        <is>
          <t>FAIL</t>
        </is>
      </c>
      <c r="L59" s="20" t="inlineStr">
        <is>
          <t>No</t>
        </is>
      </c>
    </row>
    <row r="60">
      <c r="A60" s="20" t="inlineStr">
        <is>
          <t>Walmart Sidekick Display - Lubrication Specialties (Hot Shot's Secret)</t>
        </is>
      </c>
      <c r="B60" s="20" t="inlineStr">
        <is>
          <t>RW-260731-113050</t>
        </is>
      </c>
      <c r="C60" s="20" t="n">
        <v>223878</v>
      </c>
      <c r="D60" s="20" t="inlineStr">
        <is>
          <t>2000</t>
        </is>
      </c>
      <c r="E60" s="21" t="inlineStr">
        <is>
          <t>ECT 32 E - 5 x 13.938 - sheet 63x126</t>
        </is>
      </c>
      <c r="F60" s="21" t="inlineStr">
        <is>
          <t>Option 1</t>
        </is>
      </c>
      <c r="G60" s="22" t="n">
        <v>1307.95</v>
      </c>
      <c r="H60" s="22" t="n">
        <v>1378.63</v>
      </c>
      <c r="I60" s="22" t="n">
        <v>70.68000000000001</v>
      </c>
      <c r="J60" s="20" t="inlineStr">
        <is>
          <t>+5%</t>
        </is>
      </c>
      <c r="K60" s="24" t="inlineStr">
        <is>
          <t>PASS</t>
        </is>
      </c>
      <c r="L60" s="20" t="inlineStr">
        <is>
          <t>No</t>
        </is>
      </c>
    </row>
    <row r="61">
      <c r="A61" s="20" t="inlineStr">
        <is>
          <t>Whirlpool Press Sheet</t>
        </is>
      </c>
      <c r="B61" s="20" t="inlineStr">
        <is>
          <t>RW-260727-102959</t>
        </is>
      </c>
      <c r="C61" s="20" t="n">
        <v>223393</v>
      </c>
      <c r="D61" s="20" t="inlineStr">
        <is>
          <t>230</t>
        </is>
      </c>
      <c r="E61" s="21" t="inlineStr">
        <is>
          <t>200 B - 27.5 x 36.125 - sheet 60x120</t>
        </is>
      </c>
      <c r="F61" s="21" t="inlineStr">
        <is>
          <t>Option 1</t>
        </is>
      </c>
      <c r="G61" s="22" t="n">
        <v>1387.27</v>
      </c>
      <c r="H61" s="22" t="n">
        <v>1753.9</v>
      </c>
      <c r="I61" s="22" t="n">
        <v>366.63</v>
      </c>
      <c r="J61" s="20" t="inlineStr">
        <is>
          <t>+26%</t>
        </is>
      </c>
      <c r="K61" s="23" t="inlineStr">
        <is>
          <t>FAIL</t>
        </is>
      </c>
      <c r="L61" s="20" t="inlineStr">
        <is>
          <t>Yes</t>
        </is>
      </c>
    </row>
    <row r="62">
      <c r="A62" s="20" t="inlineStr">
        <is>
          <t>Z109871-1 / Mettler-Toledo</t>
        </is>
      </c>
      <c r="B62" s="20" t="inlineStr">
        <is>
          <t>RW-260727-095102</t>
        </is>
      </c>
      <c r="C62" s="20" t="n">
        <v>223486</v>
      </c>
      <c r="D62" s="20" t="inlineStr">
        <is>
          <t>50</t>
        </is>
      </c>
      <c r="E62" s="21" t="inlineStr">
        <is>
          <t>ECT 51 B/C - 20 x 18.375 - sheet 63.0x98.0</t>
        </is>
      </c>
      <c r="F62" s="21" t="inlineStr">
        <is>
          <t>Option 1</t>
        </is>
      </c>
      <c r="G62" s="22" t="n">
        <v>248.28</v>
      </c>
      <c r="H62" s="22" t="n">
        <v>255.63</v>
      </c>
      <c r="I62" s="22" t="n">
        <v>7.35</v>
      </c>
      <c r="J62" s="20" t="inlineStr">
        <is>
          <t>+3%</t>
        </is>
      </c>
      <c r="K62" s="24" t="inlineStr">
        <is>
          <t>PASS</t>
        </is>
      </c>
      <c r="L62" s="20" t="inlineStr">
        <is>
          <t>Yes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5" customWidth="1" min="9" max="9"/>
  </cols>
  <sheetData>
    <row r="1">
      <c r="A1" s="5" t="inlineStr">
        <is>
          <t>Three-Way: iQuote estimate vs SPOT estimate vs ACTUAL job cost</t>
        </is>
      </c>
    </row>
    <row r="2" ht="40" customHeight="1">
      <c r="A2" s="2" t="inlineStr">
        <is>
          <t>Ground-truth check on 9 produced jobs. Category rows use whole-quote sums. Handwork actuals are $0 on some jobs (absorbed elsewhere in MIS costing). iQuote export does not include die cost.</t>
        </is>
      </c>
    </row>
    <row r="4">
      <c r="A4" s="6" t="inlineStr">
        <is>
          <t>MIS Job</t>
        </is>
      </c>
      <c r="B4" s="6" t="inlineStr">
        <is>
          <t>SPOT Est - iQuote #</t>
        </is>
      </c>
      <c r="C4" s="6" t="inlineStr">
        <is>
          <t>Category</t>
        </is>
      </c>
      <c r="D4" s="6" t="inlineStr">
        <is>
          <t>SPOT Est $</t>
        </is>
      </c>
      <c r="E4" s="6" t="inlineStr">
        <is>
          <t>iQuote Est $</t>
        </is>
      </c>
      <c r="F4" s="6" t="inlineStr">
        <is>
          <t>ACTUAL $</t>
        </is>
      </c>
      <c r="G4" s="6" t="inlineStr">
        <is>
          <t>SPOT vs Actual</t>
        </is>
      </c>
      <c r="H4" s="6" t="inlineStr">
        <is>
          <t>iQuote vs Actual</t>
        </is>
      </c>
      <c r="I4" s="6" t="inlineStr">
        <is>
          <t>Note</t>
        </is>
      </c>
    </row>
    <row r="5">
      <c r="A5" s="9" t="n">
        <v>236341</v>
      </c>
      <c r="B5" s="9" t="inlineStr">
        <is>
          <t>RW-260623-091031 - 223207</t>
        </is>
      </c>
      <c r="C5" s="9" t="inlineStr">
        <is>
          <t>Material</t>
        </is>
      </c>
      <c r="D5" s="11" t="n">
        <v>267.4</v>
      </c>
      <c r="E5" s="11" t="n">
        <v>301.682</v>
      </c>
      <c r="F5" s="11" t="n">
        <v>320.21</v>
      </c>
      <c r="G5" s="9" t="inlineStr">
        <is>
          <t>-16%</t>
        </is>
      </c>
      <c r="H5" s="9" t="inlineStr">
        <is>
          <t>-6%</t>
        </is>
      </c>
      <c r="I5" s="9" t="inlineStr"/>
    </row>
    <row r="6">
      <c r="A6" s="9" t="n"/>
      <c r="B6" s="9" t="n"/>
      <c r="C6" s="9" t="inlineStr">
        <is>
          <t>Print</t>
        </is>
      </c>
      <c r="D6" s="11" t="n">
        <v>367.63</v>
      </c>
      <c r="E6" s="11" t="n">
        <v>214.164</v>
      </c>
      <c r="F6" s="11" t="n">
        <v>224.65</v>
      </c>
      <c r="G6" s="9" t="inlineStr">
        <is>
          <t>+64%</t>
        </is>
      </c>
      <c r="H6" s="9" t="inlineStr">
        <is>
          <t>-5%</t>
        </is>
      </c>
      <c r="I6" s="9" t="inlineStr"/>
    </row>
    <row r="7">
      <c r="A7" s="9" t="n"/>
      <c r="B7" s="9" t="n"/>
      <c r="C7" s="9" t="inlineStr">
        <is>
          <t>Cutting</t>
        </is>
      </c>
      <c r="D7" s="11" t="n">
        <v>407.8</v>
      </c>
      <c r="E7" s="11" t="n">
        <v>875.7729</v>
      </c>
      <c r="F7" s="11" t="n">
        <v>526.88</v>
      </c>
      <c r="G7" s="9" t="inlineStr">
        <is>
          <t>-23%</t>
        </is>
      </c>
      <c r="H7" s="9" t="inlineStr">
        <is>
          <t>+66%</t>
        </is>
      </c>
      <c r="I7" s="9" t="inlineStr"/>
    </row>
    <row r="8">
      <c r="A8" s="9" t="n"/>
      <c r="B8" s="9" t="n"/>
      <c r="C8" s="9" t="inlineStr">
        <is>
          <t>Handwork</t>
        </is>
      </c>
      <c r="D8" s="11" t="n">
        <v>29.75</v>
      </c>
      <c r="E8" s="11" t="n">
        <v>0</v>
      </c>
      <c r="F8" s="11" t="n">
        <v>0</v>
      </c>
      <c r="G8" s="9" t="inlineStr">
        <is>
          <t>n/a</t>
        </is>
      </c>
      <c r="H8" s="9" t="inlineStr">
        <is>
          <t>n/a</t>
        </is>
      </c>
      <c r="I8" s="9" t="inlineStr"/>
    </row>
    <row r="9">
      <c r="A9" s="9" t="n"/>
      <c r="B9" s="9" t="n"/>
      <c r="C9" s="9" t="inlineStr">
        <is>
          <t>Die</t>
        </is>
      </c>
      <c r="D9" s="11" t="n">
        <v>0</v>
      </c>
      <c r="E9" s="11" t="n">
        <v>0</v>
      </c>
      <c r="F9" s="11" t="n">
        <v>1205</v>
      </c>
      <c r="G9" s="9" t="inlineStr">
        <is>
          <t>-100%</t>
        </is>
      </c>
      <c r="H9" s="9" t="inlineStr">
        <is>
          <t>-100%</t>
        </is>
      </c>
      <c r="I9" s="9" t="inlineStr"/>
    </row>
    <row r="10">
      <c r="A10" s="13" t="n"/>
      <c r="B10" s="13" t="n"/>
      <c r="C10" s="13" t="inlineStr">
        <is>
          <t>TOTAL (excl die)</t>
        </is>
      </c>
      <c r="D10" s="15" t="n">
        <v>1072.58</v>
      </c>
      <c r="E10" s="15" t="n">
        <v>1391.6189</v>
      </c>
      <c r="F10" s="15" t="n">
        <v>1071.74</v>
      </c>
      <c r="G10" s="13" t="inlineStr">
        <is>
          <t>+0%</t>
        </is>
      </c>
      <c r="H10" s="13" t="inlineStr">
        <is>
          <t>+30%</t>
        </is>
      </c>
      <c r="I10" s="13" t="inlineStr"/>
    </row>
    <row r="12">
      <c r="A12" s="9" t="n">
        <v>236355</v>
      </c>
      <c r="B12" s="9" t="inlineStr">
        <is>
          <t>RW-260727-080830 - 223209</t>
        </is>
      </c>
      <c r="C12" s="9" t="inlineStr">
        <is>
          <t>Material</t>
        </is>
      </c>
      <c r="D12" s="11" t="n">
        <v>37.42</v>
      </c>
      <c r="E12" s="11" t="n">
        <v>21.8096</v>
      </c>
      <c r="F12" s="11" t="n">
        <v>10</v>
      </c>
      <c r="G12" s="9" t="inlineStr">
        <is>
          <t>+274%</t>
        </is>
      </c>
      <c r="H12" s="9" t="inlineStr">
        <is>
          <t>+118%</t>
        </is>
      </c>
      <c r="I12" s="9" t="inlineStr"/>
    </row>
    <row r="13">
      <c r="A13" s="9" t="n"/>
      <c r="B13" s="9" t="n"/>
      <c r="C13" s="9" t="inlineStr">
        <is>
          <t>Print</t>
        </is>
      </c>
      <c r="D13" s="11" t="n">
        <v>60.27</v>
      </c>
      <c r="E13" s="11" t="n">
        <v>64.2124</v>
      </c>
      <c r="F13" s="11" t="n">
        <v>142.18</v>
      </c>
      <c r="G13" s="9" t="inlineStr">
        <is>
          <t>-58%</t>
        </is>
      </c>
      <c r="H13" s="9" t="inlineStr">
        <is>
          <t>-55%</t>
        </is>
      </c>
      <c r="I13" s="9" t="inlineStr"/>
    </row>
    <row r="14">
      <c r="A14" s="9" t="n"/>
      <c r="B14" s="9" t="n"/>
      <c r="C14" s="9" t="inlineStr">
        <is>
          <t>Cutting</t>
        </is>
      </c>
      <c r="D14" s="11" t="n">
        <v>55.2</v>
      </c>
      <c r="E14" s="11" t="n">
        <v>36.6563</v>
      </c>
      <c r="F14" s="11" t="n">
        <v>41.61</v>
      </c>
      <c r="G14" s="9" t="inlineStr">
        <is>
          <t>+33%</t>
        </is>
      </c>
      <c r="H14" s="9" t="inlineStr">
        <is>
          <t>-12%</t>
        </is>
      </c>
      <c r="I14" s="9" t="inlineStr"/>
    </row>
    <row r="15">
      <c r="A15" s="9" t="n"/>
      <c r="B15" s="9" t="n"/>
      <c r="C15" s="9" t="inlineStr">
        <is>
          <t>Handwork</t>
        </is>
      </c>
      <c r="D15" s="11" t="n">
        <v>1.43</v>
      </c>
      <c r="E15" s="11" t="n">
        <v>0</v>
      </c>
      <c r="F15" s="11" t="n">
        <v>0</v>
      </c>
      <c r="G15" s="9" t="inlineStr">
        <is>
          <t>n/a</t>
        </is>
      </c>
      <c r="H15" s="9" t="inlineStr">
        <is>
          <t>n/a</t>
        </is>
      </c>
      <c r="I15" s="9" t="inlineStr"/>
    </row>
    <row r="16">
      <c r="A16" s="9" t="n"/>
      <c r="B16" s="9" t="n"/>
      <c r="C16" s="9" t="inlineStr">
        <is>
          <t>Die</t>
        </is>
      </c>
      <c r="D16" s="11" t="n">
        <v>0</v>
      </c>
      <c r="E16" s="11" t="n">
        <v>0</v>
      </c>
      <c r="F16" s="11" t="n">
        <v>0</v>
      </c>
      <c r="G16" s="9" t="inlineStr">
        <is>
          <t>n/a</t>
        </is>
      </c>
      <c r="H16" s="9" t="inlineStr">
        <is>
          <t>n/a</t>
        </is>
      </c>
      <c r="I16" s="9" t="inlineStr"/>
    </row>
    <row r="17">
      <c r="A17" s="13" t="n"/>
      <c r="B17" s="13" t="n"/>
      <c r="C17" s="13" t="inlineStr">
        <is>
          <t>TOTAL (excl die)</t>
        </is>
      </c>
      <c r="D17" s="15" t="n">
        <v>154.32</v>
      </c>
      <c r="E17" s="15" t="n">
        <v>122.6783</v>
      </c>
      <c r="F17" s="15" t="n">
        <v>193.79</v>
      </c>
      <c r="G17" s="13" t="inlineStr">
        <is>
          <t>-20%</t>
        </is>
      </c>
      <c r="H17" s="13" t="inlineStr">
        <is>
          <t>-37%</t>
        </is>
      </c>
      <c r="I17" s="13" t="inlineStr"/>
    </row>
    <row r="19">
      <c r="A19" s="9" t="n">
        <v>236550</v>
      </c>
      <c r="B19" s="9" t="inlineStr">
        <is>
          <t>RW-260727-102959 - 223393</t>
        </is>
      </c>
      <c r="C19" s="9" t="inlineStr">
        <is>
          <t>Material</t>
        </is>
      </c>
      <c r="D19" s="11" t="n">
        <v>327.76</v>
      </c>
      <c r="E19" s="11" t="n">
        <v>299.229</v>
      </c>
      <c r="F19" s="11" t="n">
        <v>464.78</v>
      </c>
      <c r="G19" s="9" t="inlineStr">
        <is>
          <t>-30%</t>
        </is>
      </c>
      <c r="H19" s="9" t="inlineStr">
        <is>
          <t>-36%</t>
        </is>
      </c>
      <c r="I19" s="9" t="inlineStr"/>
    </row>
    <row r="20">
      <c r="A20" s="9" t="n"/>
      <c r="B20" s="9" t="n"/>
      <c r="C20" s="9" t="inlineStr">
        <is>
          <t>Print</t>
        </is>
      </c>
      <c r="D20" s="11" t="n">
        <v>403.5</v>
      </c>
      <c r="E20" s="11" t="n">
        <v>328.3183</v>
      </c>
      <c r="F20" s="11" t="n">
        <v>917.23</v>
      </c>
      <c r="G20" s="9" t="inlineStr">
        <is>
          <t>-56%</t>
        </is>
      </c>
      <c r="H20" s="9" t="inlineStr">
        <is>
          <t>-64%</t>
        </is>
      </c>
      <c r="I20" s="9" t="inlineStr"/>
    </row>
    <row r="21">
      <c r="A21" s="9" t="n"/>
      <c r="B21" s="9" t="n"/>
      <c r="C21" s="9" t="inlineStr">
        <is>
          <t>Cutting</t>
        </is>
      </c>
      <c r="D21" s="11" t="n">
        <v>225.4</v>
      </c>
      <c r="E21" s="11" t="n">
        <v>104.6213</v>
      </c>
      <c r="F21" s="11" t="n">
        <v>248.9</v>
      </c>
      <c r="G21" s="9" t="inlineStr">
        <is>
          <t>-9%</t>
        </is>
      </c>
      <c r="H21" s="9" t="inlineStr">
        <is>
          <t>-58%</t>
        </is>
      </c>
      <c r="I21" s="9" t="inlineStr"/>
    </row>
    <row r="22">
      <c r="A22" s="9" t="n"/>
      <c r="B22" s="9" t="n"/>
      <c r="C22" s="9" t="inlineStr">
        <is>
          <t>Handwork</t>
        </is>
      </c>
      <c r="D22" s="11" t="n">
        <v>0</v>
      </c>
      <c r="E22" s="11" t="n">
        <v>0</v>
      </c>
      <c r="F22" s="11" t="n">
        <v>0</v>
      </c>
      <c r="G22" s="9" t="inlineStr">
        <is>
          <t>n/a</t>
        </is>
      </c>
      <c r="H22" s="9" t="inlineStr">
        <is>
          <t>n/a</t>
        </is>
      </c>
      <c r="I22" s="9" t="inlineStr"/>
    </row>
    <row r="23">
      <c r="A23" s="9" t="n"/>
      <c r="B23" s="9" t="n"/>
      <c r="C23" s="9" t="inlineStr">
        <is>
          <t>Die</t>
        </is>
      </c>
      <c r="D23" s="11" t="n">
        <v>0</v>
      </c>
      <c r="E23" s="11" t="n">
        <v>0</v>
      </c>
      <c r="F23" s="11" t="n">
        <v>0</v>
      </c>
      <c r="G23" s="9" t="inlineStr">
        <is>
          <t>n/a</t>
        </is>
      </c>
      <c r="H23" s="9" t="inlineStr">
        <is>
          <t>n/a</t>
        </is>
      </c>
      <c r="I23" s="9" t="inlineStr"/>
    </row>
    <row r="24">
      <c r="A24" s="13" t="n"/>
      <c r="B24" s="13" t="n"/>
      <c r="C24" s="13" t="inlineStr">
        <is>
          <t>TOTAL (excl die)</t>
        </is>
      </c>
      <c r="D24" s="15" t="n">
        <v>956.66</v>
      </c>
      <c r="E24" s="15" t="n">
        <v>732.1686</v>
      </c>
      <c r="F24" s="15" t="n">
        <v>1630.91</v>
      </c>
      <c r="G24" s="13" t="inlineStr">
        <is>
          <t>-41%</t>
        </is>
      </c>
      <c r="H24" s="13" t="inlineStr">
        <is>
          <t>-55%</t>
        </is>
      </c>
      <c r="I24" s="13" t="inlineStr"/>
    </row>
    <row r="26">
      <c r="A26" s="9" t="n">
        <v>236688</v>
      </c>
      <c r="B26" s="9" t="inlineStr">
        <is>
          <t>RW-260727-095102 - 223486</t>
        </is>
      </c>
      <c r="C26" s="9" t="inlineStr">
        <is>
          <t>Material</t>
        </is>
      </c>
      <c r="D26" s="11" t="n">
        <v>30.57</v>
      </c>
      <c r="E26" s="11" t="n">
        <v>32.7137</v>
      </c>
      <c r="F26" s="11" t="n">
        <v>52.35</v>
      </c>
      <c r="G26" s="9" t="inlineStr">
        <is>
          <t>-42%</t>
        </is>
      </c>
      <c r="H26" s="9" t="inlineStr">
        <is>
          <t>-38%</t>
        </is>
      </c>
      <c r="I26" s="9" t="inlineStr"/>
    </row>
    <row r="27">
      <c r="A27" s="9" t="n"/>
      <c r="B27" s="9" t="n"/>
      <c r="C27" s="9" t="inlineStr">
        <is>
          <t>Print</t>
        </is>
      </c>
      <c r="D27" s="11" t="n">
        <v>0</v>
      </c>
      <c r="E27" s="11" t="n">
        <v>0</v>
      </c>
      <c r="F27" s="11" t="n">
        <v>0</v>
      </c>
      <c r="G27" s="9" t="inlineStr">
        <is>
          <t>n/a</t>
        </is>
      </c>
      <c r="H27" s="9" t="inlineStr">
        <is>
          <t>n/a</t>
        </is>
      </c>
      <c r="I27" s="9" t="inlineStr"/>
    </row>
    <row r="28">
      <c r="A28" s="9" t="n"/>
      <c r="B28" s="9" t="n"/>
      <c r="C28" s="9" t="inlineStr">
        <is>
          <t>Cutting</t>
        </is>
      </c>
      <c r="D28" s="11" t="n">
        <v>93.84</v>
      </c>
      <c r="E28" s="11" t="n">
        <v>81.44880000000001</v>
      </c>
      <c r="F28" s="11" t="n">
        <v>154.48</v>
      </c>
      <c r="G28" s="9" t="inlineStr">
        <is>
          <t>-39%</t>
        </is>
      </c>
      <c r="H28" s="9" t="inlineStr">
        <is>
          <t>-47%</t>
        </is>
      </c>
      <c r="I28" s="9" t="inlineStr"/>
    </row>
    <row r="29">
      <c r="A29" s="9" t="n"/>
      <c r="B29" s="9" t="n"/>
      <c r="C29" s="9" t="inlineStr">
        <is>
          <t>Handwork</t>
        </is>
      </c>
      <c r="D29" s="11" t="n">
        <v>3.4</v>
      </c>
      <c r="E29" s="11" t="n">
        <v>0</v>
      </c>
      <c r="F29" s="11" t="n">
        <v>0</v>
      </c>
      <c r="G29" s="9" t="inlineStr">
        <is>
          <t>n/a</t>
        </is>
      </c>
      <c r="H29" s="9" t="inlineStr">
        <is>
          <t>n/a</t>
        </is>
      </c>
      <c r="I29" s="9" t="inlineStr"/>
    </row>
    <row r="30">
      <c r="A30" s="9" t="n"/>
      <c r="B30" s="9" t="n"/>
      <c r="C30" s="9" t="inlineStr">
        <is>
          <t>Die</t>
        </is>
      </c>
      <c r="D30" s="11" t="n">
        <v>0</v>
      </c>
      <c r="E30" s="11" t="n">
        <v>0</v>
      </c>
      <c r="F30" s="11" t="n">
        <v>0</v>
      </c>
      <c r="G30" s="9" t="inlineStr">
        <is>
          <t>n/a</t>
        </is>
      </c>
      <c r="H30" s="9" t="inlineStr">
        <is>
          <t>n/a</t>
        </is>
      </c>
      <c r="I30" s="9" t="inlineStr"/>
    </row>
    <row r="31">
      <c r="A31" s="13" t="n"/>
      <c r="B31" s="13" t="n"/>
      <c r="C31" s="13" t="inlineStr">
        <is>
          <t>TOTAL (excl die)</t>
        </is>
      </c>
      <c r="D31" s="15" t="n">
        <v>127.81</v>
      </c>
      <c r="E31" s="15" t="n">
        <v>114.1625</v>
      </c>
      <c r="F31" s="15" t="n">
        <v>206.83</v>
      </c>
      <c r="G31" s="13" t="inlineStr">
        <is>
          <t>-38%</t>
        </is>
      </c>
      <c r="H31" s="13" t="inlineStr">
        <is>
          <t>-45%</t>
        </is>
      </c>
      <c r="I31" s="13" t="inlineStr"/>
    </row>
    <row r="33">
      <c r="A33" s="9" t="n">
        <v>236802</v>
      </c>
      <c r="B33" s="9" t="inlineStr">
        <is>
          <t>RW-260727-101129 - 223454</t>
        </is>
      </c>
      <c r="C33" s="9" t="inlineStr">
        <is>
          <t>Material</t>
        </is>
      </c>
      <c r="D33" s="11" t="n">
        <v>1479.09</v>
      </c>
      <c r="E33" s="11" t="n">
        <v>1507.88</v>
      </c>
      <c r="F33" s="11" t="n">
        <v>1053.17</v>
      </c>
      <c r="G33" s="9" t="inlineStr">
        <is>
          <t>+40%</t>
        </is>
      </c>
      <c r="H33" s="9" t="inlineStr">
        <is>
          <t>+43%</t>
        </is>
      </c>
      <c r="I33" s="9" t="inlineStr"/>
    </row>
    <row r="34">
      <c r="A34" s="9" t="n"/>
      <c r="B34" s="9" t="n"/>
      <c r="C34" s="9" t="inlineStr">
        <is>
          <t>Print</t>
        </is>
      </c>
      <c r="D34" s="11" t="n">
        <v>2062.33</v>
      </c>
      <c r="E34" s="11" t="n">
        <v>1187.2532</v>
      </c>
      <c r="F34" s="11" t="n">
        <v>1673.66</v>
      </c>
      <c r="G34" s="9" t="inlineStr">
        <is>
          <t>+23%</t>
        </is>
      </c>
      <c r="H34" s="9" t="inlineStr">
        <is>
          <t>-29%</t>
        </is>
      </c>
      <c r="I34" s="9" t="inlineStr"/>
    </row>
    <row r="35">
      <c r="A35" s="9" t="n"/>
      <c r="B35" s="9" t="n"/>
      <c r="C35" s="9" t="inlineStr">
        <is>
          <t>Cutting</t>
        </is>
      </c>
      <c r="D35" s="11" t="n">
        <v>423.38</v>
      </c>
      <c r="E35" s="11" t="n">
        <v>402.2044</v>
      </c>
      <c r="F35" s="11" t="n">
        <v>839.0700000000001</v>
      </c>
      <c r="G35" s="9" t="inlineStr">
        <is>
          <t>-50%</t>
        </is>
      </c>
      <c r="H35" s="9" t="inlineStr">
        <is>
          <t>-52%</t>
        </is>
      </c>
      <c r="I35" s="9" t="inlineStr"/>
    </row>
    <row r="36">
      <c r="A36" s="9" t="n"/>
      <c r="B36" s="9" t="n"/>
      <c r="C36" s="9" t="inlineStr">
        <is>
          <t>Handwork</t>
        </is>
      </c>
      <c r="D36" s="11" t="n">
        <v>313.5</v>
      </c>
      <c r="E36" s="11" t="n">
        <v>49.0916</v>
      </c>
      <c r="F36" s="11" t="n">
        <v>0</v>
      </c>
      <c r="G36" s="9" t="inlineStr">
        <is>
          <t>n/a</t>
        </is>
      </c>
      <c r="H36" s="9" t="inlineStr">
        <is>
          <t>n/a</t>
        </is>
      </c>
      <c r="I36" s="9" t="inlineStr"/>
    </row>
    <row r="37">
      <c r="A37" s="9" t="n"/>
      <c r="B37" s="9" t="n"/>
      <c r="C37" s="9" t="inlineStr">
        <is>
          <t>Die</t>
        </is>
      </c>
      <c r="D37" s="11" t="n">
        <v>1380</v>
      </c>
      <c r="E37" s="11" t="n">
        <v>0</v>
      </c>
      <c r="F37" s="11" t="n">
        <v>1293</v>
      </c>
      <c r="G37" s="9" t="inlineStr">
        <is>
          <t>+7%</t>
        </is>
      </c>
      <c r="H37" s="9" t="inlineStr">
        <is>
          <t>-100%</t>
        </is>
      </c>
      <c r="I37" s="9" t="inlineStr"/>
    </row>
    <row r="38">
      <c r="A38" s="13" t="n"/>
      <c r="B38" s="13" t="n"/>
      <c r="C38" s="13" t="inlineStr">
        <is>
          <t>TOTAL (excl die)</t>
        </is>
      </c>
      <c r="D38" s="15" t="n">
        <v>4278.3</v>
      </c>
      <c r="E38" s="15" t="n">
        <v>3146.4292</v>
      </c>
      <c r="F38" s="15" t="n">
        <v>3565.9</v>
      </c>
      <c r="G38" s="13" t="inlineStr">
        <is>
          <t>+20%</t>
        </is>
      </c>
      <c r="H38" s="13" t="inlineStr">
        <is>
          <t>-12%</t>
        </is>
      </c>
      <c r="I38" s="13" t="inlineStr"/>
    </row>
    <row r="40">
      <c r="A40" s="9" t="n">
        <v>236822</v>
      </c>
      <c r="B40" s="9" t="inlineStr">
        <is>
          <t>RW-260727-144121 - 223575</t>
        </is>
      </c>
      <c r="C40" s="9" t="inlineStr">
        <is>
          <t>Material</t>
        </is>
      </c>
      <c r="D40" s="11" t="n">
        <v>161.77</v>
      </c>
      <c r="E40" s="11" t="n">
        <v>159.988</v>
      </c>
      <c r="F40" s="11" t="n">
        <v>143.33</v>
      </c>
      <c r="G40" s="9" t="inlineStr">
        <is>
          <t>+13%</t>
        </is>
      </c>
      <c r="H40" s="9" t="inlineStr">
        <is>
          <t>+12%</t>
        </is>
      </c>
      <c r="I40" s="9" t="inlineStr"/>
    </row>
    <row r="41">
      <c r="A41" s="9" t="n"/>
      <c r="B41" s="9" t="n"/>
      <c r="C41" s="9" t="inlineStr">
        <is>
          <t>Print</t>
        </is>
      </c>
      <c r="D41" s="11" t="n">
        <v>206.23</v>
      </c>
      <c r="E41" s="11" t="n">
        <v>127.611</v>
      </c>
      <c r="F41" s="11" t="n">
        <v>636.61</v>
      </c>
      <c r="G41" s="9" t="inlineStr">
        <is>
          <t>-68%</t>
        </is>
      </c>
      <c r="H41" s="9" t="inlineStr">
        <is>
          <t>-80%</t>
        </is>
      </c>
      <c r="I41" s="9" t="inlineStr"/>
    </row>
    <row r="42">
      <c r="A42" s="9" t="n"/>
      <c r="B42" s="9" t="n"/>
      <c r="C42" s="9" t="inlineStr">
        <is>
          <t>Cutting</t>
        </is>
      </c>
      <c r="D42" s="11" t="n">
        <v>189.2</v>
      </c>
      <c r="E42" s="11" t="n">
        <v>200.0185</v>
      </c>
      <c r="F42" s="11" t="n">
        <v>146.48</v>
      </c>
      <c r="G42" s="9" t="inlineStr">
        <is>
          <t>+29%</t>
        </is>
      </c>
      <c r="H42" s="9" t="inlineStr">
        <is>
          <t>+37%</t>
        </is>
      </c>
      <c r="I42" s="9" t="inlineStr"/>
    </row>
    <row r="43">
      <c r="A43" s="9" t="n"/>
      <c r="B43" s="9" t="n"/>
      <c r="C43" s="9" t="inlineStr">
        <is>
          <t>Handwork</t>
        </is>
      </c>
      <c r="D43" s="11" t="n">
        <v>0</v>
      </c>
      <c r="E43" s="11" t="n">
        <v>0</v>
      </c>
      <c r="F43" s="11" t="n">
        <v>0</v>
      </c>
      <c r="G43" s="9" t="inlineStr">
        <is>
          <t>n/a</t>
        </is>
      </c>
      <c r="H43" s="9" t="inlineStr">
        <is>
          <t>n/a</t>
        </is>
      </c>
      <c r="I43" s="9" t="inlineStr"/>
    </row>
    <row r="44">
      <c r="A44" s="9" t="n"/>
      <c r="B44" s="9" t="n"/>
      <c r="C44" s="9" t="inlineStr">
        <is>
          <t>Die</t>
        </is>
      </c>
      <c r="D44" s="11" t="n">
        <v>0</v>
      </c>
      <c r="E44" s="11" t="n">
        <v>0</v>
      </c>
      <c r="F44" s="11" t="n">
        <v>0</v>
      </c>
      <c r="G44" s="9" t="inlineStr">
        <is>
          <t>n/a</t>
        </is>
      </c>
      <c r="H44" s="9" t="inlineStr">
        <is>
          <t>n/a</t>
        </is>
      </c>
      <c r="I44" s="9" t="inlineStr"/>
    </row>
    <row r="45">
      <c r="A45" s="13" t="n"/>
      <c r="B45" s="13" t="n"/>
      <c r="C45" s="13" t="inlineStr">
        <is>
          <t>TOTAL (excl die)</t>
        </is>
      </c>
      <c r="D45" s="15" t="n">
        <v>557.2</v>
      </c>
      <c r="E45" s="15" t="n">
        <v>487.6174999999999</v>
      </c>
      <c r="F45" s="15" t="n">
        <v>926.4200000000001</v>
      </c>
      <c r="G45" s="13" t="inlineStr">
        <is>
          <t>-40%</t>
        </is>
      </c>
      <c r="H45" s="13" t="inlineStr">
        <is>
          <t>-47%</t>
        </is>
      </c>
      <c r="I45" s="13" t="inlineStr"/>
    </row>
    <row r="47">
      <c r="A47" s="9" t="n">
        <v>236869</v>
      </c>
      <c r="B47" s="9" t="inlineStr">
        <is>
          <t>RW-260730-155412 - 223597</t>
        </is>
      </c>
      <c r="C47" s="9" t="inlineStr">
        <is>
          <t>Material</t>
        </is>
      </c>
      <c r="D47" s="11" t="n">
        <v>662.8200000000001</v>
      </c>
      <c r="E47" s="11" t="n">
        <v>619.8315</v>
      </c>
      <c r="F47" s="11" t="n">
        <v>646.66</v>
      </c>
      <c r="G47" s="9" t="inlineStr">
        <is>
          <t>+2%</t>
        </is>
      </c>
      <c r="H47" s="9" t="inlineStr">
        <is>
          <t>-4%</t>
        </is>
      </c>
      <c r="I47" s="9" t="inlineStr"/>
    </row>
    <row r="48">
      <c r="A48" s="9" t="n"/>
      <c r="B48" s="9" t="n"/>
      <c r="C48" s="9" t="inlineStr">
        <is>
          <t>Print</t>
        </is>
      </c>
      <c r="D48" s="11" t="n">
        <v>815.97</v>
      </c>
      <c r="E48" s="11" t="n">
        <v>384.1298</v>
      </c>
      <c r="F48" s="11" t="n">
        <v>946.88</v>
      </c>
      <c r="G48" s="9" t="inlineStr">
        <is>
          <t>-14%</t>
        </is>
      </c>
      <c r="H48" s="9" t="inlineStr">
        <is>
          <t>-59%</t>
        </is>
      </c>
      <c r="I48" s="9" t="inlineStr"/>
    </row>
    <row r="49">
      <c r="A49" s="9" t="n"/>
      <c r="B49" s="9" t="n"/>
      <c r="C49" s="9" t="inlineStr">
        <is>
          <t>Cutting</t>
        </is>
      </c>
      <c r="D49" s="11" t="n">
        <v>511.19</v>
      </c>
      <c r="E49" s="11" t="n">
        <v>540.0208</v>
      </c>
      <c r="F49" s="11" t="n">
        <v>986.46</v>
      </c>
      <c r="G49" s="9" t="inlineStr">
        <is>
          <t>-48%</t>
        </is>
      </c>
      <c r="H49" s="9" t="inlineStr">
        <is>
          <t>-45%</t>
        </is>
      </c>
      <c r="I49" s="9" t="inlineStr"/>
    </row>
    <row r="50">
      <c r="A50" s="9" t="n"/>
      <c r="B50" s="9" t="n"/>
      <c r="C50" s="9" t="inlineStr">
        <is>
          <t>Handwork</t>
        </is>
      </c>
      <c r="D50" s="11" t="n">
        <v>0</v>
      </c>
      <c r="E50" s="11" t="n">
        <v>0</v>
      </c>
      <c r="F50" s="11" t="n">
        <v>0</v>
      </c>
      <c r="G50" s="9" t="inlineStr">
        <is>
          <t>n/a</t>
        </is>
      </c>
      <c r="H50" s="9" t="inlineStr">
        <is>
          <t>n/a</t>
        </is>
      </c>
      <c r="I50" s="9" t="inlineStr"/>
    </row>
    <row r="51">
      <c r="A51" s="9" t="n"/>
      <c r="B51" s="9" t="n"/>
      <c r="C51" s="9" t="inlineStr">
        <is>
          <t>Die</t>
        </is>
      </c>
      <c r="D51" s="11" t="n">
        <v>0</v>
      </c>
      <c r="E51" s="11" t="n">
        <v>0</v>
      </c>
      <c r="F51" s="11" t="n">
        <v>0</v>
      </c>
      <c r="G51" s="9" t="inlineStr">
        <is>
          <t>n/a</t>
        </is>
      </c>
      <c r="H51" s="9" t="inlineStr">
        <is>
          <t>n/a</t>
        </is>
      </c>
      <c r="I51" s="9" t="inlineStr"/>
    </row>
    <row r="52">
      <c r="A52" s="13" t="n"/>
      <c r="B52" s="13" t="n"/>
      <c r="C52" s="13" t="inlineStr">
        <is>
          <t>TOTAL (excl die)</t>
        </is>
      </c>
      <c r="D52" s="15" t="n">
        <v>1989.98</v>
      </c>
      <c r="E52" s="15" t="n">
        <v>1543.9821</v>
      </c>
      <c r="F52" s="15" t="n">
        <v>2580</v>
      </c>
      <c r="G52" s="13" t="inlineStr">
        <is>
          <t>-23%</t>
        </is>
      </c>
      <c r="H52" s="13" t="inlineStr">
        <is>
          <t>-40%</t>
        </is>
      </c>
      <c r="I52" s="13" t="inlineStr"/>
    </row>
    <row r="54">
      <c r="A54" s="9" t="n">
        <v>236943</v>
      </c>
      <c r="B54" s="9" t="inlineStr">
        <is>
          <t>RW-260722-082345 - 223591</t>
        </is>
      </c>
      <c r="C54" s="9" t="inlineStr">
        <is>
          <t>Material</t>
        </is>
      </c>
      <c r="D54" s="11" t="n">
        <v>1841.01</v>
      </c>
      <c r="E54" s="11" t="n">
        <v>1880.868</v>
      </c>
      <c r="F54" s="11" t="n">
        <v>2272.71</v>
      </c>
      <c r="G54" s="9" t="inlineStr">
        <is>
          <t>-19%</t>
        </is>
      </c>
      <c r="H54" s="9" t="inlineStr">
        <is>
          <t>-17%</t>
        </is>
      </c>
      <c r="I54" s="9" t="inlineStr"/>
    </row>
    <row r="55">
      <c r="A55" s="9" t="n"/>
      <c r="B55" s="9" t="n"/>
      <c r="C55" s="9" t="inlineStr">
        <is>
          <t>Print</t>
        </is>
      </c>
      <c r="D55" s="11" t="n">
        <v>2331.33</v>
      </c>
      <c r="E55" s="11" t="n">
        <v>1225.8253</v>
      </c>
      <c r="F55" s="11" t="n">
        <v>4041.83</v>
      </c>
      <c r="G55" s="9" t="inlineStr">
        <is>
          <t>-42%</t>
        </is>
      </c>
      <c r="H55" s="9" t="inlineStr">
        <is>
          <t>-70%</t>
        </is>
      </c>
      <c r="I55" s="9" t="inlineStr"/>
    </row>
    <row r="56">
      <c r="A56" s="9" t="n"/>
      <c r="B56" s="9" t="n"/>
      <c r="C56" s="9" t="inlineStr">
        <is>
          <t>Cutting</t>
        </is>
      </c>
      <c r="D56" s="11" t="n">
        <v>461.58</v>
      </c>
      <c r="E56" s="11" t="n">
        <v>431.8311</v>
      </c>
      <c r="F56" s="11" t="n">
        <v>2236.98</v>
      </c>
      <c r="G56" s="9" t="inlineStr">
        <is>
          <t>-79%</t>
        </is>
      </c>
      <c r="H56" s="9" t="inlineStr">
        <is>
          <t>-81%</t>
        </is>
      </c>
      <c r="I56" s="9" t="inlineStr"/>
    </row>
    <row r="57">
      <c r="A57" s="9" t="n"/>
      <c r="B57" s="9" t="n"/>
      <c r="C57" s="9" t="inlineStr">
        <is>
          <t>Handwork</t>
        </is>
      </c>
      <c r="D57" s="11" t="n">
        <v>356.25</v>
      </c>
      <c r="E57" s="11" t="n">
        <v>189.802</v>
      </c>
      <c r="F57" s="11" t="n">
        <v>0</v>
      </c>
      <c r="G57" s="9" t="inlineStr">
        <is>
          <t>n/a</t>
        </is>
      </c>
      <c r="H57" s="9" t="inlineStr">
        <is>
          <t>n/a</t>
        </is>
      </c>
      <c r="I57" s="9" t="inlineStr"/>
    </row>
    <row r="58">
      <c r="A58" s="9" t="n"/>
      <c r="B58" s="9" t="n"/>
      <c r="C58" s="9" t="inlineStr">
        <is>
          <t>Die</t>
        </is>
      </c>
      <c r="D58" s="11" t="n">
        <v>1380</v>
      </c>
      <c r="E58" s="11" t="n">
        <v>0</v>
      </c>
      <c r="F58" s="11" t="n">
        <v>916</v>
      </c>
      <c r="G58" s="9" t="inlineStr">
        <is>
          <t>+51%</t>
        </is>
      </c>
      <c r="H58" s="9" t="inlineStr">
        <is>
          <t>-100%</t>
        </is>
      </c>
      <c r="I58" s="9" t="inlineStr"/>
    </row>
    <row r="59">
      <c r="A59" s="13" t="n"/>
      <c r="B59" s="13" t="n"/>
      <c r="C59" s="13" t="inlineStr">
        <is>
          <t>TOTAL (excl die)</t>
        </is>
      </c>
      <c r="D59" s="15" t="n">
        <v>4990.17</v>
      </c>
      <c r="E59" s="15" t="n">
        <v>3728.3264</v>
      </c>
      <c r="F59" s="15" t="n">
        <v>8551.52</v>
      </c>
      <c r="G59" s="13" t="inlineStr">
        <is>
          <t>-42%</t>
        </is>
      </c>
      <c r="H59" s="13" t="inlineStr">
        <is>
          <t>-56%</t>
        </is>
      </c>
      <c r="I59" s="13" t="inlineStr"/>
    </row>
    <row r="61">
      <c r="A61" s="9" t="n">
        <v>237252</v>
      </c>
      <c r="B61" s="9" t="inlineStr">
        <is>
          <t>RW-260724-113737 - 223651</t>
        </is>
      </c>
      <c r="C61" s="9" t="inlineStr">
        <is>
          <t>Material</t>
        </is>
      </c>
      <c r="D61" s="11" t="n">
        <v>5.35</v>
      </c>
      <c r="E61" s="11" t="n">
        <v>10.9048</v>
      </c>
      <c r="F61" s="11" t="n">
        <v>0</v>
      </c>
      <c r="G61" s="9" t="inlineStr">
        <is>
          <t>n/a</t>
        </is>
      </c>
      <c r="H61" s="9" t="inlineStr">
        <is>
          <t>n/a</t>
        </is>
      </c>
      <c r="I61" s="9" t="inlineStr"/>
    </row>
    <row r="62">
      <c r="A62" s="9" t="n"/>
      <c r="B62" s="9" t="n"/>
      <c r="C62" s="9" t="inlineStr">
        <is>
          <t>Print</t>
        </is>
      </c>
      <c r="D62" s="11" t="n">
        <v>0</v>
      </c>
      <c r="E62" s="11" t="n">
        <v>0</v>
      </c>
      <c r="F62" s="11" t="n">
        <v>0</v>
      </c>
      <c r="G62" s="9" t="inlineStr">
        <is>
          <t>n/a</t>
        </is>
      </c>
      <c r="H62" s="9" t="inlineStr">
        <is>
          <t>n/a</t>
        </is>
      </c>
      <c r="I62" s="9" t="inlineStr"/>
    </row>
    <row r="63">
      <c r="A63" s="9" t="n"/>
      <c r="B63" s="9" t="n"/>
      <c r="C63" s="9" t="inlineStr">
        <is>
          <t>Cutting</t>
        </is>
      </c>
      <c r="D63" s="11" t="n">
        <v>60</v>
      </c>
      <c r="E63" s="11" t="n">
        <v>41.4431</v>
      </c>
      <c r="F63" s="11" t="n">
        <v>163.97</v>
      </c>
      <c r="G63" s="9" t="inlineStr">
        <is>
          <t>-63%</t>
        </is>
      </c>
      <c r="H63" s="9" t="inlineStr">
        <is>
          <t>-75%</t>
        </is>
      </c>
      <c r="I63" s="9" t="inlineStr"/>
    </row>
    <row r="64">
      <c r="A64" s="9" t="n"/>
      <c r="B64" s="9" t="n"/>
      <c r="C64" s="9" t="inlineStr">
        <is>
          <t>Handwork</t>
        </is>
      </c>
      <c r="D64" s="11" t="n">
        <v>0.85</v>
      </c>
      <c r="E64" s="11" t="n">
        <v>0</v>
      </c>
      <c r="F64" s="11" t="n">
        <v>0</v>
      </c>
      <c r="G64" s="9" t="inlineStr">
        <is>
          <t>n/a</t>
        </is>
      </c>
      <c r="H64" s="9" t="inlineStr">
        <is>
          <t>n/a</t>
        </is>
      </c>
      <c r="I64" s="9" t="inlineStr"/>
    </row>
    <row r="65">
      <c r="A65" s="9" t="n"/>
      <c r="B65" s="9" t="n"/>
      <c r="C65" s="9" t="inlineStr">
        <is>
          <t>Die</t>
        </is>
      </c>
      <c r="D65" s="11" t="n">
        <v>0</v>
      </c>
      <c r="E65" s="11" t="n">
        <v>0</v>
      </c>
      <c r="F65" s="11" t="n">
        <v>0</v>
      </c>
      <c r="G65" s="9" t="inlineStr">
        <is>
          <t>n/a</t>
        </is>
      </c>
      <c r="H65" s="9" t="inlineStr">
        <is>
          <t>n/a</t>
        </is>
      </c>
      <c r="I65" s="9" t="inlineStr"/>
    </row>
    <row r="66">
      <c r="A66" s="13" t="n"/>
      <c r="B66" s="13" t="n"/>
      <c r="C66" s="13" t="inlineStr">
        <is>
          <t>TOTAL (excl die)</t>
        </is>
      </c>
      <c r="D66" s="15" t="n">
        <v>66.19999999999999</v>
      </c>
      <c r="E66" s="15" t="n">
        <v>52.3479</v>
      </c>
      <c r="F66" s="15" t="n">
        <v>163.97</v>
      </c>
      <c r="G66" s="13" t="inlineStr">
        <is>
          <t>-60%</t>
        </is>
      </c>
      <c r="H66" s="13" t="inlineStr">
        <is>
          <t>-68%</t>
        </is>
      </c>
      <c r="I66" s="13" t="inlineStr"/>
    </row>
    <row r="69">
      <c r="A69" s="3" t="inlineStr">
        <is>
          <t>SOLD PRICE vs ACTUAL COST - would SPOT prices have been viable?</t>
        </is>
      </c>
    </row>
    <row r="70">
      <c r="A70" s="6" t="inlineStr">
        <is>
          <t>MIS Job</t>
        </is>
      </c>
      <c r="B70" s="6" t="inlineStr">
        <is>
          <t>iQuote Sold $</t>
        </is>
      </c>
      <c r="C70" s="6" t="inlineStr">
        <is>
          <t>SPOT Would-Be $</t>
        </is>
      </c>
      <c r="D70" s="6" t="inlineStr">
        <is>
          <t>Actual Cost $</t>
        </is>
      </c>
      <c r="E70" s="6" t="inlineStr">
        <is>
          <t>Margin as Sold</t>
        </is>
      </c>
      <c r="F70" s="6" t="inlineStr">
        <is>
          <t>Margin at SPOT</t>
        </is>
      </c>
    </row>
    <row r="71">
      <c r="A71" s="9" t="n">
        <v>236341</v>
      </c>
      <c r="B71" s="11" t="n">
        <v>1732.96</v>
      </c>
      <c r="C71" s="11" t="n">
        <v>1752.51</v>
      </c>
      <c r="D71" s="11" t="n">
        <v>2276.74</v>
      </c>
      <c r="E71" s="9" t="inlineStr">
        <is>
          <t>-31%</t>
        </is>
      </c>
      <c r="F71" s="9" t="inlineStr">
        <is>
          <t>-30%</t>
        </is>
      </c>
    </row>
    <row r="72">
      <c r="A72" s="9" t="n">
        <v>236355</v>
      </c>
      <c r="B72" s="11" t="n">
        <v>241.9</v>
      </c>
      <c r="C72" s="11" t="n">
        <v>453.63</v>
      </c>
      <c r="D72" s="11" t="n">
        <v>193.79</v>
      </c>
      <c r="E72" s="9" t="inlineStr">
        <is>
          <t>+20%</t>
        </is>
      </c>
      <c r="F72" s="9" t="inlineStr">
        <is>
          <t>+57%</t>
        </is>
      </c>
    </row>
    <row r="73">
      <c r="A73" s="9" t="n">
        <v>236550</v>
      </c>
      <c r="B73" s="11" t="n">
        <v>1387.27</v>
      </c>
      <c r="C73" s="11" t="n">
        <v>1753.9</v>
      </c>
      <c r="D73" s="11" t="n">
        <v>1630.91</v>
      </c>
      <c r="E73" s="9" t="inlineStr">
        <is>
          <t>-18%</t>
        </is>
      </c>
      <c r="F73" s="9" t="inlineStr">
        <is>
          <t>+7%</t>
        </is>
      </c>
    </row>
    <row r="74">
      <c r="A74" s="9" t="n">
        <v>236688</v>
      </c>
      <c r="B74" s="11" t="n">
        <v>248.28</v>
      </c>
      <c r="C74" s="11" t="n">
        <v>255.63</v>
      </c>
      <c r="D74" s="11" t="n">
        <v>206.83</v>
      </c>
      <c r="E74" s="9" t="inlineStr">
        <is>
          <t>+17%</t>
        </is>
      </c>
      <c r="F74" s="9" t="inlineStr">
        <is>
          <t>+19%</t>
        </is>
      </c>
    </row>
    <row r="75">
      <c r="A75" s="9" t="n">
        <v>236802</v>
      </c>
      <c r="B75" s="11" t="n">
        <v>6164.32</v>
      </c>
      <c r="C75" s="11" t="n">
        <v>5824.4</v>
      </c>
      <c r="D75" s="11" t="n">
        <v>4858.9</v>
      </c>
      <c r="E75" s="9" t="inlineStr">
        <is>
          <t>+21%</t>
        </is>
      </c>
      <c r="F75" s="9" t="inlineStr">
        <is>
          <t>+17%</t>
        </is>
      </c>
    </row>
    <row r="76">
      <c r="A76" s="9" t="n">
        <v>236822</v>
      </c>
      <c r="B76" s="11" t="n">
        <v>985.09</v>
      </c>
      <c r="C76" s="11" t="n">
        <v>1259.41</v>
      </c>
      <c r="D76" s="11" t="n">
        <v>926.42</v>
      </c>
      <c r="E76" s="9" t="inlineStr">
        <is>
          <t>+6%</t>
        </is>
      </c>
      <c r="F76" s="9" t="inlineStr">
        <is>
          <t>+26%</t>
        </is>
      </c>
    </row>
    <row r="77">
      <c r="A77" s="9" t="n">
        <v>236869</v>
      </c>
      <c r="B77" s="11" t="n">
        <v>2876.15</v>
      </c>
      <c r="C77" s="11" t="n">
        <v>3071.43</v>
      </c>
      <c r="D77" s="11" t="n">
        <v>2580</v>
      </c>
      <c r="E77" s="9" t="inlineStr">
        <is>
          <t>+10%</t>
        </is>
      </c>
      <c r="F77" s="9" t="inlineStr">
        <is>
          <t>+16%</t>
        </is>
      </c>
    </row>
    <row r="78">
      <c r="A78" s="9" t="n">
        <v>236943</v>
      </c>
      <c r="B78" s="11" t="n">
        <v>4352.65</v>
      </c>
      <c r="C78" s="11" t="n">
        <v>6773.57</v>
      </c>
      <c r="D78" s="11" t="n">
        <v>9467.52</v>
      </c>
      <c r="E78" s="9" t="inlineStr">
        <is>
          <t>-118%</t>
        </is>
      </c>
      <c r="F78" s="9" t="inlineStr">
        <is>
          <t>-40%</t>
        </is>
      </c>
    </row>
    <row r="79">
      <c r="A79" s="9" t="n">
        <v>237252</v>
      </c>
      <c r="B79" s="11" t="n">
        <v>142.41</v>
      </c>
      <c r="C79" s="11" t="n">
        <v>132.39</v>
      </c>
      <c r="D79" s="11" t="n">
        <v>163.97</v>
      </c>
      <c r="E79" s="9" t="inlineStr">
        <is>
          <t>-15%</t>
        </is>
      </c>
      <c r="F79" s="9" t="inlineStr">
        <is>
          <t>-24%</t>
        </is>
      </c>
    </row>
    <row r="80">
      <c r="A80" s="26" t="inlineStr">
        <is>
          <t>TOTAL</t>
        </is>
      </c>
      <c r="B80" s="27" t="n">
        <v>18131.03</v>
      </c>
      <c r="C80" s="27" t="n">
        <v>21276.87</v>
      </c>
      <c r="D80" s="27" t="n">
        <v>22305.08</v>
      </c>
      <c r="E80" s="26" t="inlineStr">
        <is>
          <t>-23%</t>
        </is>
      </c>
      <c r="F80" s="26" t="inlineStr">
        <is>
          <t>-5%</t>
        </is>
      </c>
    </row>
  </sheetData>
  <mergeCells count="3">
    <mergeCell ref="A1:I1"/>
    <mergeCell ref="A2:I2"/>
    <mergeCell ref="A69:I6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Decision Charts - SPOT vs iQuote (whole-quote scenarios)</t>
        </is>
      </c>
    </row>
    <row r="3">
      <c r="A3" s="4" t="inlineStr">
        <is>
          <t>Sell Delta % distribution</t>
        </is>
      </c>
    </row>
    <row r="4">
      <c r="A4" s="28" t="inlineStr">
        <is>
          <t>Bin</t>
        </is>
      </c>
      <c r="B4" s="28" t="inlineStr">
        <is>
          <t>Quotes</t>
        </is>
      </c>
    </row>
    <row r="5">
      <c r="A5" t="inlineStr">
        <is>
          <t>&lt; -30%</t>
        </is>
      </c>
      <c r="B5" t="n">
        <v>5</v>
      </c>
    </row>
    <row r="6">
      <c r="A6" t="inlineStr">
        <is>
          <t>-30 to -20%</t>
        </is>
      </c>
      <c r="B6" t="n">
        <v>2</v>
      </c>
    </row>
    <row r="7">
      <c r="A7" t="inlineStr">
        <is>
          <t>-20 to -10%</t>
        </is>
      </c>
      <c r="B7" t="n">
        <v>5</v>
      </c>
    </row>
    <row r="8">
      <c r="A8" t="inlineStr">
        <is>
          <t>-10 to 0%</t>
        </is>
      </c>
      <c r="B8" t="n">
        <v>7</v>
      </c>
    </row>
    <row r="9">
      <c r="A9" t="inlineStr">
        <is>
          <t>0 to +10%</t>
        </is>
      </c>
      <c r="B9" t="n">
        <v>10</v>
      </c>
    </row>
    <row r="10">
      <c r="A10" t="inlineStr">
        <is>
          <t>+10 to +20%</t>
        </is>
      </c>
      <c r="B10" t="n">
        <v>8</v>
      </c>
    </row>
    <row r="11">
      <c r="A11" t="inlineStr">
        <is>
          <t>+20 to +30%</t>
        </is>
      </c>
      <c r="B11" t="n">
        <v>10</v>
      </c>
    </row>
    <row r="12">
      <c r="A12" t="inlineStr">
        <is>
          <t>+30 to +50%</t>
        </is>
      </c>
      <c r="B12" t="n">
        <v>7</v>
      </c>
    </row>
    <row r="13">
      <c r="A13" t="inlineStr">
        <is>
          <t>&gt; +50%</t>
        </is>
      </c>
      <c r="B13" t="n">
        <v>4</v>
      </c>
    </row>
    <row r="16">
      <c r="A16" s="4" t="inlineStr">
        <is>
          <t>iQuote vs SPOT sell (scatter)</t>
        </is>
      </c>
    </row>
    <row r="17">
      <c r="A17" s="28" t="inlineStr">
        <is>
          <t>iQuote Sell $</t>
        </is>
      </c>
      <c r="B17" s="28" t="inlineStr">
        <is>
          <t>SPOT Sell $</t>
        </is>
      </c>
    </row>
    <row r="18">
      <c r="A18" t="n">
        <v>985.09</v>
      </c>
      <c r="B18" t="n">
        <v>1288.67</v>
      </c>
    </row>
    <row r="19">
      <c r="A19" t="n">
        <v>130.54</v>
      </c>
      <c r="B19" t="n">
        <v>132.39</v>
      </c>
    </row>
    <row r="20">
      <c r="A20" t="n">
        <v>157.17</v>
      </c>
      <c r="B20" t="n">
        <v>194.89</v>
      </c>
    </row>
    <row r="21">
      <c r="A21" t="n">
        <v>9322.529999999999</v>
      </c>
      <c r="B21" t="n">
        <v>6824.8</v>
      </c>
    </row>
    <row r="22">
      <c r="A22" t="n">
        <v>2570.16</v>
      </c>
      <c r="B22" t="n">
        <v>3006.89</v>
      </c>
    </row>
    <row r="23">
      <c r="A23" t="n">
        <v>818.97</v>
      </c>
      <c r="B23" t="n">
        <v>991.12</v>
      </c>
    </row>
    <row r="24">
      <c r="A24" t="n">
        <v>958.6</v>
      </c>
      <c r="B24" t="n">
        <v>1208.46</v>
      </c>
    </row>
    <row r="25">
      <c r="A25" t="n">
        <v>1168.02</v>
      </c>
      <c r="B25" t="n">
        <v>1478.65</v>
      </c>
    </row>
    <row r="26">
      <c r="A26" t="n">
        <v>1517.07</v>
      </c>
      <c r="B26" t="n">
        <v>1565.74</v>
      </c>
    </row>
    <row r="27">
      <c r="A27" t="n">
        <v>6164.32</v>
      </c>
      <c r="B27" t="n">
        <v>5824.4</v>
      </c>
    </row>
    <row r="28">
      <c r="A28" t="n">
        <v>241.9</v>
      </c>
      <c r="B28" t="n">
        <v>453.63</v>
      </c>
    </row>
    <row r="29">
      <c r="A29" t="n">
        <v>33560.95</v>
      </c>
      <c r="B29" t="n">
        <v>21441.56</v>
      </c>
    </row>
    <row r="30">
      <c r="A30" t="n">
        <v>13075.83</v>
      </c>
      <c r="B30" t="n">
        <v>12649.14</v>
      </c>
    </row>
    <row r="31">
      <c r="A31" t="n">
        <v>4172.85</v>
      </c>
      <c r="B31" t="n">
        <v>3254.19</v>
      </c>
    </row>
    <row r="32">
      <c r="A32" t="n">
        <v>5189.55</v>
      </c>
      <c r="B32" t="n">
        <v>4671.8</v>
      </c>
    </row>
    <row r="33">
      <c r="A33" t="n">
        <v>646.66</v>
      </c>
      <c r="B33" t="n">
        <v>935.3399999999999</v>
      </c>
    </row>
    <row r="34">
      <c r="A34" t="n">
        <v>1221.28</v>
      </c>
      <c r="B34" t="n">
        <v>1668.47</v>
      </c>
    </row>
    <row r="35">
      <c r="A35" t="n">
        <v>4461.64</v>
      </c>
      <c r="B35" t="n">
        <v>5082.3</v>
      </c>
    </row>
    <row r="36">
      <c r="A36" t="n">
        <v>5653.51</v>
      </c>
      <c r="B36" t="n">
        <v>7138.25</v>
      </c>
    </row>
    <row r="37">
      <c r="A37" t="n">
        <v>785.7</v>
      </c>
      <c r="B37" t="n">
        <v>1183.59</v>
      </c>
    </row>
    <row r="38">
      <c r="A38" t="n">
        <v>985.09</v>
      </c>
      <c r="B38" t="n">
        <v>1259.41</v>
      </c>
    </row>
    <row r="39">
      <c r="A39" t="n">
        <v>6590.63</v>
      </c>
      <c r="B39" t="n">
        <v>3328.7</v>
      </c>
    </row>
    <row r="40">
      <c r="A40" t="n">
        <v>9763.91</v>
      </c>
      <c r="B40" t="n">
        <v>5459.44</v>
      </c>
    </row>
    <row r="41">
      <c r="A41" t="n">
        <v>8571.190000000001</v>
      </c>
      <c r="B41" t="n">
        <v>9304.130000000001</v>
      </c>
    </row>
    <row r="42">
      <c r="A42" t="n">
        <v>11498.62</v>
      </c>
      <c r="B42" t="n">
        <v>9354.25</v>
      </c>
    </row>
    <row r="43">
      <c r="A43" t="n">
        <v>2279.73</v>
      </c>
      <c r="B43" t="n">
        <v>3416.08</v>
      </c>
    </row>
    <row r="44">
      <c r="A44" t="n">
        <v>3134.12</v>
      </c>
      <c r="B44" t="n">
        <v>3328.39</v>
      </c>
    </row>
    <row r="45">
      <c r="A45" t="n">
        <v>1079.65</v>
      </c>
      <c r="B45" t="n">
        <v>1331.01</v>
      </c>
    </row>
    <row r="46">
      <c r="A46" t="n">
        <v>6766.74</v>
      </c>
      <c r="B46" t="n">
        <v>6388.33</v>
      </c>
    </row>
    <row r="47">
      <c r="A47" t="n">
        <v>2749.42</v>
      </c>
      <c r="B47" t="n">
        <v>3176.43</v>
      </c>
    </row>
    <row r="48">
      <c r="A48" t="n">
        <v>2749.42</v>
      </c>
      <c r="B48" t="n">
        <v>3071.43</v>
      </c>
    </row>
    <row r="49">
      <c r="A49" t="n">
        <v>4029.71</v>
      </c>
      <c r="B49" t="n">
        <v>2768.73</v>
      </c>
    </row>
    <row r="50">
      <c r="A50" t="n">
        <v>1826.19</v>
      </c>
      <c r="B50" t="n">
        <v>1752.51</v>
      </c>
    </row>
    <row r="51">
      <c r="A51" t="n">
        <v>724.2</v>
      </c>
      <c r="B51" t="n">
        <v>1050.73</v>
      </c>
    </row>
    <row r="52">
      <c r="A52" t="n">
        <v>1230.77</v>
      </c>
      <c r="B52" t="n">
        <v>1361.8</v>
      </c>
    </row>
    <row r="53">
      <c r="A53" t="n">
        <v>2452.48</v>
      </c>
      <c r="B53" t="n">
        <v>2634.69</v>
      </c>
    </row>
    <row r="54">
      <c r="A54" t="n">
        <v>9299.35</v>
      </c>
      <c r="B54" t="n">
        <v>7869.86</v>
      </c>
    </row>
    <row r="55">
      <c r="A55" t="n">
        <v>1803.46</v>
      </c>
      <c r="B55" t="n">
        <v>2845.190000000001</v>
      </c>
    </row>
    <row r="56">
      <c r="A56" t="n">
        <v>4904.67</v>
      </c>
      <c r="B56" t="n">
        <v>5753.95</v>
      </c>
    </row>
    <row r="57">
      <c r="A57" t="n">
        <v>1961.23</v>
      </c>
      <c r="B57" t="n">
        <v>2444.65</v>
      </c>
    </row>
    <row r="58">
      <c r="A58" t="n">
        <v>3441.27</v>
      </c>
      <c r="B58" t="n">
        <v>3801.67</v>
      </c>
    </row>
    <row r="59">
      <c r="A59" t="n">
        <v>8118.469999999999</v>
      </c>
      <c r="B59" t="n">
        <v>6535.47</v>
      </c>
    </row>
    <row r="60">
      <c r="A60" t="n">
        <v>2142.17</v>
      </c>
      <c r="B60" t="n">
        <v>2289.83</v>
      </c>
    </row>
    <row r="61">
      <c r="A61" t="n">
        <v>3463.91</v>
      </c>
      <c r="B61" t="n">
        <v>3196.39</v>
      </c>
    </row>
    <row r="62">
      <c r="A62" t="n">
        <v>5894.43</v>
      </c>
      <c r="B62" t="n">
        <v>4862.41</v>
      </c>
    </row>
    <row r="63">
      <c r="A63" t="n">
        <v>2931.56</v>
      </c>
      <c r="B63" t="n">
        <v>3418.16</v>
      </c>
    </row>
    <row r="64">
      <c r="A64" t="n">
        <v>1832.86</v>
      </c>
      <c r="B64" t="n">
        <v>5455.38</v>
      </c>
    </row>
    <row r="65">
      <c r="A65" t="n">
        <v>5528.87</v>
      </c>
      <c r="B65" t="n">
        <v>3661.24</v>
      </c>
    </row>
    <row r="66">
      <c r="A66" t="n">
        <v>9166.92</v>
      </c>
      <c r="B66" t="n">
        <v>7534.84</v>
      </c>
    </row>
    <row r="67">
      <c r="A67" t="n">
        <v>14908.08</v>
      </c>
      <c r="B67" t="n">
        <v>13790.46</v>
      </c>
    </row>
    <row r="68">
      <c r="A68" t="n">
        <v>6549.08</v>
      </c>
      <c r="B68" t="n">
        <v>6773.57</v>
      </c>
    </row>
    <row r="69">
      <c r="A69" t="n">
        <v>7577.35</v>
      </c>
      <c r="B69" t="n">
        <v>8044.68</v>
      </c>
    </row>
    <row r="70">
      <c r="A70" t="n">
        <v>1156.94</v>
      </c>
      <c r="B70" t="n">
        <v>1520.76</v>
      </c>
    </row>
    <row r="71">
      <c r="A71" t="n">
        <v>1979.54</v>
      </c>
      <c r="B71" t="n">
        <v>2590.76</v>
      </c>
    </row>
    <row r="72">
      <c r="A72" t="n">
        <v>820.61</v>
      </c>
      <c r="B72" t="n">
        <v>1065.2</v>
      </c>
    </row>
    <row r="73">
      <c r="A73" t="n">
        <v>1307.95</v>
      </c>
      <c r="B73" t="n">
        <v>1378.63</v>
      </c>
    </row>
    <row r="74">
      <c r="A74" t="n">
        <v>1387.27</v>
      </c>
      <c r="B74" t="n">
        <v>1753.9</v>
      </c>
    </row>
    <row r="75">
      <c r="A75" t="n">
        <v>248.28</v>
      </c>
      <c r="B75" t="n">
        <v>255.63</v>
      </c>
    </row>
    <row r="78">
      <c r="A78" s="4" t="inlineStr">
        <is>
          <t>Median Sell Delta % by qty bucket</t>
        </is>
      </c>
    </row>
    <row r="79">
      <c r="A79" s="28" t="inlineStr">
        <is>
          <t>Qty bucket</t>
        </is>
      </c>
      <c r="B79" s="28" t="inlineStr">
        <is>
          <t>Median Delta %</t>
        </is>
      </c>
      <c r="C79" s="28" t="inlineStr">
        <is>
          <t>Count</t>
        </is>
      </c>
    </row>
    <row r="80">
      <c r="A80" t="inlineStr">
        <is>
          <t>&lt;= 50</t>
        </is>
      </c>
      <c r="B80" t="n">
        <v>26.3</v>
      </c>
      <c r="C80" t="n">
        <v>10</v>
      </c>
    </row>
    <row r="81">
      <c r="A81" t="inlineStr">
        <is>
          <t>51-250</t>
        </is>
      </c>
      <c r="B81" t="n">
        <v>10.6</v>
      </c>
      <c r="C81" t="n">
        <v>16</v>
      </c>
    </row>
    <row r="82">
      <c r="A82" t="inlineStr">
        <is>
          <t>251-600</t>
        </is>
      </c>
      <c r="B82" t="n">
        <v>17</v>
      </c>
      <c r="C82" t="n">
        <v>18</v>
      </c>
    </row>
    <row r="83">
      <c r="A83" t="inlineStr">
        <is>
          <t>&gt; 600</t>
        </is>
      </c>
      <c r="B83" t="n">
        <v>-3.3</v>
      </c>
      <c r="C83" t="n">
        <v>14</v>
      </c>
    </row>
    <row r="86">
      <c r="A86" s="4" t="inlineStr">
        <is>
          <t>Cost by category (all matched scenarios)</t>
        </is>
      </c>
    </row>
    <row r="87">
      <c r="A87" s="28" t="inlineStr">
        <is>
          <t>Category</t>
        </is>
      </c>
      <c r="B87" s="28" t="inlineStr">
        <is>
          <t>SPOT $</t>
        </is>
      </c>
      <c r="C87" s="28" t="inlineStr">
        <is>
          <t>iQuote $</t>
        </is>
      </c>
    </row>
    <row r="88">
      <c r="A88" t="inlineStr">
        <is>
          <t>Material</t>
        </is>
      </c>
      <c r="B88" t="n">
        <v>50431.11</v>
      </c>
      <c r="C88" t="n">
        <v>51540.35</v>
      </c>
    </row>
    <row r="89">
      <c r="A89" t="inlineStr">
        <is>
          <t>Print</t>
        </is>
      </c>
      <c r="B89" t="n">
        <v>63110.27</v>
      </c>
      <c r="C89" t="n">
        <v>46983.93</v>
      </c>
    </row>
    <row r="90">
      <c r="A90" t="inlineStr">
        <is>
          <t>Cutting</t>
        </is>
      </c>
      <c r="B90" t="n">
        <v>32599.45</v>
      </c>
      <c r="C90" t="n">
        <v>33882.28</v>
      </c>
    </row>
    <row r="91">
      <c r="A91" t="inlineStr">
        <is>
          <t>Handwork</t>
        </is>
      </c>
      <c r="B91" t="n">
        <v>7388.48</v>
      </c>
      <c r="C91" t="n">
        <v>9761.629999999999</v>
      </c>
    </row>
    <row r="92">
      <c r="A92" t="inlineStr">
        <is>
          <t>Freight</t>
        </is>
      </c>
      <c r="B92" t="n">
        <v>10757.91</v>
      </c>
      <c r="C92" t="n">
        <v>7870.08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Price Comparison - actual 9 produced jobs</t>
        </is>
      </c>
    </row>
    <row r="3">
      <c r="A3" s="28" t="inlineStr">
        <is>
          <t>MIS Job</t>
        </is>
      </c>
      <c r="B3" s="28" t="inlineStr">
        <is>
          <t>Actual Invoice $</t>
        </is>
      </c>
      <c r="C3" s="28" t="inlineStr">
        <is>
          <t>iQuote Sell $</t>
        </is>
      </c>
      <c r="D3" s="28" t="inlineStr">
        <is>
          <t>SPOT Sell $</t>
        </is>
      </c>
    </row>
    <row r="4">
      <c r="A4" t="inlineStr">
        <is>
          <t>236341</t>
        </is>
      </c>
      <c r="B4" t="n">
        <v>1733</v>
      </c>
      <c r="C4" t="n">
        <v>1826</v>
      </c>
      <c r="D4" t="n">
        <v>1753</v>
      </c>
    </row>
    <row r="5">
      <c r="A5" t="inlineStr">
        <is>
          <t>236355</t>
        </is>
      </c>
      <c r="B5" t="n">
        <v>242</v>
      </c>
      <c r="C5" t="n">
        <v>242</v>
      </c>
      <c r="D5" t="n">
        <v>454</v>
      </c>
    </row>
    <row r="6">
      <c r="A6" t="inlineStr">
        <is>
          <t>236550</t>
        </is>
      </c>
      <c r="B6" t="n">
        <v>1387</v>
      </c>
      <c r="C6" t="n">
        <v>1387</v>
      </c>
      <c r="D6" t="n">
        <v>1754</v>
      </c>
    </row>
    <row r="7">
      <c r="A7" t="inlineStr">
        <is>
          <t>236688</t>
        </is>
      </c>
      <c r="B7" t="n">
        <v>248</v>
      </c>
      <c r="C7" t="n">
        <v>248</v>
      </c>
      <c r="D7" t="n">
        <v>256</v>
      </c>
    </row>
    <row r="8">
      <c r="A8" t="inlineStr">
        <is>
          <t>236802</t>
        </is>
      </c>
      <c r="B8" t="n">
        <v>6164</v>
      </c>
      <c r="C8" t="n">
        <v>6164</v>
      </c>
      <c r="D8" t="n">
        <v>5824</v>
      </c>
    </row>
    <row r="9">
      <c r="A9" t="inlineStr">
        <is>
          <t>236822</t>
        </is>
      </c>
      <c r="B9" t="n">
        <v>985</v>
      </c>
      <c r="C9" t="n">
        <v>985</v>
      </c>
      <c r="D9" t="n">
        <v>1259</v>
      </c>
    </row>
    <row r="10">
      <c r="A10" t="inlineStr">
        <is>
          <t>236869</t>
        </is>
      </c>
      <c r="B10" t="n">
        <v>2876</v>
      </c>
      <c r="C10" t="n">
        <v>2749</v>
      </c>
      <c r="D10" t="n">
        <v>3071</v>
      </c>
    </row>
    <row r="11">
      <c r="A11" t="inlineStr">
        <is>
          <t>236943</t>
        </is>
      </c>
      <c r="B11" t="n">
        <v>4353</v>
      </c>
      <c r="C11" t="n">
        <v>6549</v>
      </c>
      <c r="D11" t="n">
        <v>6774</v>
      </c>
    </row>
    <row r="12">
      <c r="A12" t="inlineStr">
        <is>
          <t>237252</t>
        </is>
      </c>
      <c r="B12" t="n">
        <v>142</v>
      </c>
      <c r="C12" t="n">
        <v>131</v>
      </c>
      <c r="D12" t="n">
        <v>132</v>
      </c>
    </row>
    <row r="15">
      <c r="A15" s="4" t="inlineStr">
        <is>
          <t>Estimated cost accuracy vs actual (9 jobs)</t>
        </is>
      </c>
    </row>
    <row r="16">
      <c r="A16" s="28" t="inlineStr">
        <is>
          <t>Category</t>
        </is>
      </c>
      <c r="B16" s="28" t="inlineStr">
        <is>
          <t>Actual $</t>
        </is>
      </c>
      <c r="C16" s="28" t="inlineStr">
        <is>
          <t>SPOT est $</t>
        </is>
      </c>
      <c r="D16" s="28" t="inlineStr">
        <is>
          <t>iQuote est $</t>
        </is>
      </c>
    </row>
    <row r="17">
      <c r="A17" t="inlineStr">
        <is>
          <t>Material</t>
        </is>
      </c>
      <c r="B17" t="n">
        <v>4963</v>
      </c>
      <c r="C17" t="n">
        <v>4813</v>
      </c>
      <c r="D17" t="n">
        <v>4835</v>
      </c>
    </row>
    <row r="18">
      <c r="A18" t="inlineStr">
        <is>
          <t>Print</t>
        </is>
      </c>
      <c r="B18" t="n">
        <v>8583</v>
      </c>
      <c r="C18" t="n">
        <v>6247</v>
      </c>
      <c r="D18" t="n">
        <v>3532</v>
      </c>
    </row>
    <row r="19">
      <c r="A19" t="inlineStr">
        <is>
          <t>Cutting</t>
        </is>
      </c>
      <c r="B19" t="n">
        <v>5345</v>
      </c>
      <c r="C19" t="n">
        <v>2428</v>
      </c>
      <c r="D19" t="n">
        <v>2714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2026-08-03T20:09:21Z</dcterms:created>
  <dcterms:modified xmlns:dcterms="http://purl.org/dc/terms/" xmlns:xsi="http://www.w3.org/2001/XMLSchema-instance" xsi:type="dcterms:W3CDTF">2026-08-03T20:09:21Z</dcterms:modified>
</cp:coreProperties>
</file>