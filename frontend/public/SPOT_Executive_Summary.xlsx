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Quote Comparison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sz val="9"/>
    </font>
    <font>
      <b val="1"/>
      <color rgb="001F3864"/>
      <sz val="11"/>
    </font>
    <font>
      <sz val="10"/>
    </font>
    <font>
      <b val="1"/>
      <sz val="10"/>
    </font>
    <font>
      <b val="1"/>
      <color rgb="00FFFFFF"/>
      <sz val="10"/>
    </font>
    <font>
      <b val="1"/>
      <color rgb="001F3864"/>
      <sz val="10"/>
    </font>
    <font>
      <sz val="9"/>
    </font>
    <font>
      <b val="1"/>
      <sz val="9"/>
    </font>
    <font>
      <b val="1"/>
      <color rgb="009C0006"/>
      <sz val="9"/>
    </font>
    <font>
      <i val="1"/>
      <color rgb="00777777"/>
      <sz val="8"/>
    </font>
    <font>
      <b val="1"/>
      <color rgb="002E7D32"/>
      <sz val="9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FF5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2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4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9" fillId="6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invoice vs iQuote sell vs SPOT sell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'Charts'!$B$4:$B$12</f>
            </numRef>
          </val>
        </ser>
        <ser>
          <idx val="1"/>
          <order val="1"/>
          <tx>
            <strRef>
              <f>'Charts'!C3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'Charts'!$C$4:$C$12</f>
            </numRef>
          </val>
        </ser>
        <ser>
          <idx val="2"/>
          <order val="2"/>
          <tx>
            <strRef>
              <f>'Charts'!D3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'Charts'!$D$4:$D$12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Estimated COST accuracy vs actual by category (8 jobs, excl blowout)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'Charts'!$B$16:$B$18</f>
            </numRef>
          </val>
        </ser>
        <ser>
          <idx val="1"/>
          <order val="1"/>
          <tx>
            <strRef>
              <f>'Charts'!C15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'Charts'!$C$16:$C$18</f>
            </numRef>
          </val>
        </ser>
        <ser>
          <idx val="2"/>
          <order val="2"/>
          <tx>
            <strRef>
              <f>'Charts'!D15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'Charts'!$D$16:$D$18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</cols>
  <sheetData>
    <row r="1">
      <c r="A1" s="1" t="inlineStr">
        <is>
          <t>SPOT Launch Readiness — Executive Summary</t>
        </is>
      </c>
    </row>
    <row r="2" ht="30" customHeight="1">
      <c r="A2" s="2" t="inlineStr">
        <is>
          <t>SPOT (new estimator) vs iQuote (current) on 38 real quotes, validated against actual production costs on 9 produced jobs. Verdicts use legacy parity thresholds: PASS ≤±10%, REVIEW ≤±20%, FAIL &gt;±20%.</t>
        </is>
      </c>
    </row>
    <row r="4">
      <c r="A4" s="3" t="inlineStr">
        <is>
          <t>HEADLINE</t>
        </is>
      </c>
      <c r="B4" s="4" t="inlineStr"/>
    </row>
    <row r="5">
      <c r="A5" s="4" t="inlineStr">
        <is>
          <t>Comparable pricing scenarios analyzed</t>
        </is>
      </c>
      <c r="B5" s="4" t="inlineStr">
        <is>
          <t>49 (3 outliers isolated)</t>
        </is>
      </c>
    </row>
    <row r="6">
      <c r="A6" s="4" t="inlineStr">
        <is>
          <t>SPOT prices vs iQuote (median)</t>
        </is>
      </c>
      <c r="B6" s="4" t="inlineStr">
        <is>
          <t>+13.2%</t>
        </is>
      </c>
    </row>
    <row r="7">
      <c r="A7" s="4" t="inlineStr">
        <is>
          <t>Scenarios within ±10% / ±20%</t>
        </is>
      </c>
      <c r="B7" s="4" t="inlineStr">
        <is>
          <t>14 / 26 of 46</t>
        </is>
      </c>
    </row>
    <row r="8">
      <c r="A8" s="4" t="inlineStr"/>
      <c r="B8" s="4" t="inlineStr"/>
    </row>
    <row r="9">
      <c r="A9" s="3" t="inlineStr">
        <is>
          <t>GROUND TRUTH — 9 PRODUCED JOBS</t>
        </is>
      </c>
      <c r="B9" s="4" t="inlineStr"/>
    </row>
    <row r="10">
      <c r="A10" s="4" t="inlineStr">
        <is>
          <t>Invoiced vs actual cost</t>
        </is>
      </c>
      <c r="B10" s="4" t="inlineStr">
        <is>
          <t>$18,131 invoiced / $22,305 cost = -23% margin</t>
        </is>
      </c>
    </row>
    <row r="11">
      <c r="A11" s="4" t="inlineStr">
        <is>
          <t>Jobs that lost money as invoiced</t>
        </is>
      </c>
      <c r="B11" s="4" t="inlineStr">
        <is>
          <t>5 of 9</t>
        </is>
      </c>
    </row>
    <row r="12">
      <c r="A12" s="4" t="inlineStr">
        <is>
          <t>Same work at SPOT prices</t>
        </is>
      </c>
      <c r="B12" s="4" t="inlineStr">
        <is>
          <t>$21,277 = -5% (near break-even)</t>
        </is>
      </c>
    </row>
    <row r="13">
      <c r="A13" s="4" t="inlineStr"/>
      <c r="B13" s="4" t="inlineStr"/>
    </row>
    <row r="14">
      <c r="A14" s="4" t="inlineStr">
        <is>
          <t>ACCURACY vs ACTUAL COST (per category)</t>
        </is>
      </c>
      <c r="B14" s="4" t="inlineStr"/>
    </row>
    <row r="15">
      <c r="A15" s="4" t="inlineStr">
        <is>
          <t>Material</t>
        </is>
      </c>
      <c r="B15" s="4" t="inlineStr">
        <is>
          <t>SPOT within ±10% — well calibrated</t>
        </is>
      </c>
    </row>
    <row r="16">
      <c r="A16" s="4" t="inlineStr">
        <is>
          <t>Print</t>
        </is>
      </c>
      <c r="B16" s="4" t="inlineStr">
        <is>
          <t>SPOT -14% vs iQuote -49% — iQuote badly under-costs print</t>
        </is>
      </c>
    </row>
    <row r="17" ht="28" customHeight="1">
      <c r="A17" s="4" t="inlineStr">
        <is>
          <t>Cutting</t>
        </is>
      </c>
      <c r="B17" s="4" t="inlineStr">
        <is>
          <t>Both under: SPOT -32%, iQuote -41%. Root cause found (see detailed workbook): assumed cut speed 650 in/min (inherited from legacy) vs ~165 real. Fix identified, BOOKMARKED pending leadership review</t>
        </is>
      </c>
    </row>
    <row r="18">
      <c r="A18" s="4" t="inlineStr">
        <is>
          <t>Freight</t>
        </is>
      </c>
      <c r="B18" s="4" t="inlineStr">
        <is>
          <t>Within ±7%</t>
        </is>
      </c>
    </row>
    <row r="19">
      <c r="A19" s="4" t="inlineStr"/>
      <c r="B19" s="4" t="inlineStr"/>
    </row>
    <row r="20">
      <c r="A20" s="3" t="inlineStr">
        <is>
          <t>KEY TAKEAWAYS</t>
        </is>
      </c>
      <c r="B20" s="4" t="inlineStr"/>
    </row>
    <row r="21" ht="28" customHeight="1">
      <c r="A21" s="5" t="inlineStr">
        <is>
          <t>1.</t>
        </is>
      </c>
      <c r="B21" s="4" t="inlineStr">
        <is>
          <t>iQuote has been winning work below cost. SPOT's ~13% higher pricing is largely justified by real production costs, not over-estimation.</t>
        </is>
      </c>
    </row>
    <row r="22" ht="28" customHeight="1">
      <c r="A22" s="5" t="inlineStr">
        <is>
          <t>2.</t>
        </is>
      </c>
      <c r="B22" s="4" t="inlineStr">
        <is>
          <t>SPOT is closer to actual cost than iQuote in every measurable category on produced jobs.</t>
        </is>
      </c>
    </row>
    <row r="23" ht="28" customHeight="1">
      <c r="A23" s="5" t="inlineStr">
        <is>
          <t>3.</t>
        </is>
      </c>
      <c r="B23" s="4" t="inlineStr">
        <is>
          <t>Cutting throughput is the one systematic gap — in BOTH systems, inherited from legacy. Fix is two admin-console values in SPOT (no code); recommendation bookmarked.</t>
        </is>
      </c>
    </row>
    <row r="24" ht="28" customHeight="1">
      <c r="A24" s="5" t="inlineStr">
        <is>
          <t>4.</t>
        </is>
      </c>
      <c r="B24" s="4" t="inlineStr">
        <is>
          <t>Small quantities (≤50) carry a heavy SPOT premium (+45-88%) — review minimums policy; may be pricing truth, may cost wins.</t>
        </is>
      </c>
    </row>
    <row r="25" ht="28" customHeight="1">
      <c r="A25" s="5" t="inlineStr">
        <is>
          <t>5.</t>
        </is>
      </c>
      <c r="B25" s="4" t="inlineStr">
        <is>
          <t>Two items need investigation before full trust: eggcrate component anomaly (RW-260723-084853, ~18x iQuote) and one kit modeling mismatch (iQ 223583, won at ~2x SPOT).</t>
        </is>
      </c>
    </row>
  </sheetData>
  <mergeCells count="7">
    <mergeCell ref="B17:E17"/>
    <mergeCell ref="B23:E23"/>
    <mergeCell ref="A2:B2"/>
    <mergeCell ref="B21:E21"/>
    <mergeCell ref="B25:E25"/>
    <mergeCell ref="B24:E24"/>
    <mergeCell ref="B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8" customWidth="1" min="3" max="3"/>
    <col width="11" customWidth="1" min="4" max="4"/>
    <col width="12" customWidth="1" min="5" max="5"/>
    <col width="12" customWidth="1" min="6" max="6"/>
    <col width="10" customWidth="1" min="7" max="7"/>
    <col width="8" customWidth="1" min="8" max="8"/>
    <col width="9" customWidth="1" min="9" max="9"/>
    <col width="30" customWidth="1" min="10" max="10"/>
  </cols>
  <sheetData>
    <row r="1">
      <c r="A1" s="1" t="inlineStr">
        <is>
          <t>Quote-by-Quote: SPOT vs iQuote vs Actual</t>
        </is>
      </c>
    </row>
    <row r="2">
      <c r="A2" s="6" t="inlineStr">
        <is>
          <t>Grouped by SPOT project. COMPONENT ROWS compare COST (SPOT total cost vs iQuote TotalActualCost). TOTAL rows compare SELL PRICE. iQuote components auto-matched by product name + qty (blank = no confident 1:1 match). Δ% = SPOT vs iQuote (+ = SPOT higher).</t>
        </is>
      </c>
    </row>
    <row r="4">
      <c r="A4" s="7" t="inlineStr">
        <is>
          <t>Project / Component</t>
        </is>
      </c>
      <c r="B4" s="7" t="inlineStr">
        <is>
          <t>Specs</t>
        </is>
      </c>
      <c r="C4" s="7" t="inlineStr">
        <is>
          <t>Qty</t>
        </is>
      </c>
      <c r="D4" s="7" t="inlineStr">
        <is>
          <t>SPOT $</t>
        </is>
      </c>
      <c r="E4" s="7" t="inlineStr">
        <is>
          <t>SPOT $/ea</t>
        </is>
      </c>
      <c r="F4" s="7" t="inlineStr">
        <is>
          <t>iQuote $</t>
        </is>
      </c>
      <c r="G4" s="7" t="inlineStr">
        <is>
          <t>Δ $</t>
        </is>
      </c>
      <c r="H4" s="7" t="inlineStr">
        <is>
          <t>Δ %</t>
        </is>
      </c>
      <c r="I4" s="7" t="inlineStr">
        <is>
          <t>Verdict</t>
        </is>
      </c>
      <c r="J4" s="7" t="inlineStr">
        <is>
          <t>Actual (produced jobs)</t>
        </is>
      </c>
    </row>
    <row r="5">
      <c r="A5" s="8" t="inlineStr">
        <is>
          <t>Strat Pro Buttermelt PDQ - 2nd Grouping:   SPOT RW-260622-133707  ·  iQuote #222085</t>
        </is>
      </c>
    </row>
    <row r="6">
      <c r="A6" s="9" t="inlineStr">
        <is>
          <t xml:space="preserve">    D/C Tray - Digital Print</t>
        </is>
      </c>
      <c r="B6" s="9" t="inlineStr">
        <is>
          <t>Satin print · CAD Cut · Hand Stripped · 498" rule</t>
        </is>
      </c>
      <c r="C6" s="9" t="n">
        <v>515</v>
      </c>
      <c r="D6" s="9" t="n">
        <v>2065.18</v>
      </c>
      <c r="E6" s="9" t="n">
        <v>4.01</v>
      </c>
      <c r="F6" s="9" t="n">
        <v>3797.68</v>
      </c>
      <c r="G6" s="9" t="n">
        <v>-1732.5</v>
      </c>
      <c r="H6" s="9" t="inlineStr">
        <is>
          <t>-45.6%</t>
        </is>
      </c>
    </row>
    <row r="7">
      <c r="A7" s="9" t="inlineStr">
        <is>
          <t xml:space="preserve">    RSC Shipper - Direct Print 1C, Glued</t>
        </is>
      </c>
      <c r="B7" s="9" t="inlineStr">
        <is>
          <t>Satin print · CAD Cut · Glued (1 jt) · 214" rule</t>
        </is>
      </c>
      <c r="C7" s="9" t="n">
        <v>515</v>
      </c>
      <c r="D7" s="9" t="n">
        <v>1526.31</v>
      </c>
      <c r="E7" s="9" t="n">
        <v>2.964</v>
      </c>
      <c r="F7" s="9" t="n">
        <v>1468.7</v>
      </c>
      <c r="G7" s="9" t="n">
        <v>57.61</v>
      </c>
      <c r="H7" s="9" t="inlineStr">
        <is>
          <t>+3.9%</t>
        </is>
      </c>
    </row>
    <row r="8">
      <c r="A8" s="9" t="inlineStr">
        <is>
          <t xml:space="preserve">    Filler - Plain, Scored</t>
        </is>
      </c>
      <c r="B8" s="9" t="inlineStr">
        <is>
          <t>No print · CAD Cut · 70" rule</t>
        </is>
      </c>
      <c r="C8" s="9" t="n">
        <v>515</v>
      </c>
      <c r="D8" s="9" t="n">
        <v>363.77</v>
      </c>
      <c r="E8" s="9" t="n">
        <v>0.706</v>
      </c>
      <c r="F8" s="9" t="n">
        <v>244.26</v>
      </c>
      <c r="G8" s="9" t="n">
        <v>119.51</v>
      </c>
      <c r="H8" s="9" t="inlineStr">
        <is>
          <t>+48.9%</t>
        </is>
      </c>
    </row>
    <row r="9">
      <c r="A9" s="10" t="inlineStr">
        <is>
          <t xml:space="preserve">    TOTAL SELL @ qty 515</t>
        </is>
      </c>
      <c r="D9" s="10" t="n">
        <v>5763.82</v>
      </c>
      <c r="F9" s="10" t="n">
        <v>8118.47</v>
      </c>
      <c r="G9" s="10" t="n">
        <v>-2354.65</v>
      </c>
      <c r="H9" s="10" t="inlineStr">
        <is>
          <t>-29.0%</t>
        </is>
      </c>
      <c r="I9" s="11" t="inlineStr">
        <is>
          <t>FAIL</t>
        </is>
      </c>
    </row>
    <row r="11">
      <c r="A11" s="8" t="inlineStr">
        <is>
          <t>PO 47928 / MTD 645-90566A:   SPOT RW-260623-091031  ·  iQuote #223207  ·  BECAME A JOB</t>
        </is>
      </c>
    </row>
    <row r="12">
      <c r="A12" s="9" t="inlineStr">
        <is>
          <t xml:space="preserve">    D/C Non-Joined</t>
        </is>
      </c>
      <c r="B12" s="9" t="inlineStr">
        <is>
          <t>Satin print · CAD Cut · Hand Stripped · 418" rule</t>
        </is>
      </c>
      <c r="C12" s="9" t="n">
        <v>210</v>
      </c>
      <c r="D12" s="9" t="n">
        <v>1122.58</v>
      </c>
      <c r="E12" s="9" t="n">
        <v>5.346</v>
      </c>
      <c r="F12" s="9" t="n">
        <v>1537.62</v>
      </c>
      <c r="G12" s="9" t="n">
        <v>-415.04</v>
      </c>
      <c r="H12" s="9" t="inlineStr">
        <is>
          <t>-27.0%</t>
        </is>
      </c>
    </row>
    <row r="13">
      <c r="A13" s="10" t="inlineStr">
        <is>
          <t xml:space="preserve">    TOTAL SELL @ qty 210</t>
        </is>
      </c>
      <c r="D13" s="10" t="n">
        <v>1752.51</v>
      </c>
      <c r="F13" s="10" t="n">
        <v>1826.19</v>
      </c>
      <c r="G13" s="10" t="n">
        <v>-73.68000000000001</v>
      </c>
      <c r="H13" s="10" t="inlineStr">
        <is>
          <t>-4.0%</t>
        </is>
      </c>
      <c r="I13" s="12" t="inlineStr">
        <is>
          <t>PASS</t>
        </is>
      </c>
      <c r="J13" s="13" t="inlineStr">
        <is>
          <t>Job 236341: invoiced $1,733, actual cost $2,277 → margin -31%</t>
        </is>
      </c>
    </row>
    <row r="15">
      <c r="A15" s="8" t="inlineStr">
        <is>
          <t>Project ID#128013:   SPOT RW-260629-131349  ·  iQuote #223408</t>
        </is>
      </c>
    </row>
    <row r="16">
      <c r="A16" s="9" t="inlineStr">
        <is>
          <t xml:space="preserve">    6 x 4 x 3 Mailer - Double Sided</t>
        </is>
      </c>
      <c r="B16" s="9" t="inlineStr">
        <is>
          <t>Satin print · CAD Cut · 181" rule</t>
        </is>
      </c>
      <c r="C16" s="9" t="n">
        <v>525</v>
      </c>
      <c r="D16" s="9" t="n">
        <v>1745.07</v>
      </c>
      <c r="E16" s="9" t="n">
        <v>3.324</v>
      </c>
      <c r="F16" s="9" t="n">
        <v>1670.62</v>
      </c>
      <c r="G16" s="9" t="n">
        <v>74.45</v>
      </c>
      <c r="H16" s="9" t="inlineStr">
        <is>
          <t>+4.5%</t>
        </is>
      </c>
    </row>
    <row r="17">
      <c r="A17" s="10" t="inlineStr">
        <is>
          <t xml:space="preserve">    TOTAL SELL @ qty 525</t>
        </is>
      </c>
      <c r="D17" s="10" t="n">
        <v>2634.69</v>
      </c>
      <c r="F17" s="10" t="n">
        <v>2452.48</v>
      </c>
      <c r="G17" s="10" t="n">
        <v>182.21</v>
      </c>
      <c r="H17" s="10" t="inlineStr">
        <is>
          <t>+7.4%</t>
        </is>
      </c>
      <c r="I17" s="12" t="inlineStr">
        <is>
          <t>PASS</t>
        </is>
      </c>
    </row>
    <row r="19">
      <c r="A19" s="8" t="inlineStr">
        <is>
          <t>PKG153007274 DLN29676:   SPOT RW-260629-132636  ·  iQuote #223389</t>
        </is>
      </c>
    </row>
    <row r="20">
      <c r="A20" s="9" t="inlineStr">
        <is>
          <t xml:space="preserve">    D/C</t>
        </is>
      </c>
      <c r="B20" s="9" t="inlineStr">
        <is>
          <t>No print · CAD Cut · Hand Stripped · 174" rule</t>
        </is>
      </c>
      <c r="C20" s="9" t="n">
        <v>1700</v>
      </c>
      <c r="D20" s="9" t="n">
        <v>1913.13</v>
      </c>
      <c r="E20" s="9" t="n">
        <v>1.125</v>
      </c>
      <c r="F20" s="9" t="n">
        <v>3245.03</v>
      </c>
      <c r="G20" s="9" t="n">
        <v>-1331.9</v>
      </c>
      <c r="H20" s="9" t="inlineStr">
        <is>
          <t>-41.0%</t>
        </is>
      </c>
    </row>
    <row r="21">
      <c r="A21" s="10" t="inlineStr">
        <is>
          <t xml:space="preserve">    TOTAL SELL @ qty 1700</t>
        </is>
      </c>
      <c r="D21" s="10" t="n">
        <v>2768.73</v>
      </c>
      <c r="F21" s="10" t="n">
        <v>4029.71</v>
      </c>
      <c r="G21" s="10" t="n">
        <v>-1260.98</v>
      </c>
      <c r="H21" s="10" t="inlineStr">
        <is>
          <t>-31.3%</t>
        </is>
      </c>
      <c r="I21" s="11" t="inlineStr">
        <is>
          <t>FAIL</t>
        </is>
      </c>
    </row>
    <row r="23">
      <c r="A23" s="8" t="inlineStr">
        <is>
          <t>1748 Meijer PED Tasty Biscuits + Dentastix:   SPOT RW-260629-133153  ·  iQuote #223378</t>
        </is>
      </c>
    </row>
    <row r="24">
      <c r="A24" s="9" t="inlineStr">
        <is>
          <t xml:space="preserve">    Header</t>
        </is>
      </c>
      <c r="B24" s="9" t="inlineStr">
        <is>
          <t>Gloss print · CAD Cut · Hand Stripped · 283" rule</t>
        </is>
      </c>
      <c r="C24" s="9" t="n">
        <v>250</v>
      </c>
      <c r="D24" s="9" t="n">
        <v>2851.94</v>
      </c>
      <c r="E24" s="9" t="n">
        <v>11.408</v>
      </c>
      <c r="F24" s="9" t="n">
        <v>2070.96</v>
      </c>
      <c r="G24" s="9" t="n">
        <v>780.98</v>
      </c>
      <c r="H24" s="9" t="inlineStr">
        <is>
          <t>+37.7%</t>
        </is>
      </c>
    </row>
    <row r="25">
      <c r="A25" s="9" t="inlineStr">
        <is>
          <t xml:space="preserve">    Side Panel 2 Out</t>
        </is>
      </c>
      <c r="B25" s="9" t="inlineStr">
        <is>
          <t>Gloss print · Die Cut (Crest) · 189" rule</t>
        </is>
      </c>
      <c r="C25" s="9" t="n">
        <v>500</v>
      </c>
      <c r="D25" s="9" t="n">
        <v>3890.92</v>
      </c>
      <c r="E25" s="9" t="n">
        <v>7.782</v>
      </c>
      <c r="F25" s="9" t="n">
        <v>4068.04</v>
      </c>
      <c r="G25" s="9" t="n">
        <v>-177.12</v>
      </c>
      <c r="H25" s="9" t="inlineStr">
        <is>
          <t>-4.4%</t>
        </is>
      </c>
    </row>
    <row r="26">
      <c r="A26" s="10" t="inlineStr">
        <is>
          <t xml:space="preserve">    TOTAL SELL @ qty 250 sets</t>
        </is>
      </c>
      <c r="D26" s="10" t="n">
        <v>9144.15</v>
      </c>
      <c r="F26" s="10" t="n">
        <v>9322.530000000001</v>
      </c>
      <c r="G26" s="10" t="n">
        <v>-178.38</v>
      </c>
      <c r="H26" s="10" t="inlineStr">
        <is>
          <t>-1.9%</t>
        </is>
      </c>
      <c r="I26" s="12" t="inlineStr">
        <is>
          <t>PASS</t>
        </is>
      </c>
    </row>
    <row r="27">
      <c r="A27" s="14" t="inlineStr">
        <is>
          <t xml:space="preserve">    note: SPOT side panel qty 500 = 250 sets of 2</t>
        </is>
      </c>
    </row>
    <row r="29">
      <c r="A29" s="8" t="inlineStr">
        <is>
          <t>MPC - Meijer Iams:   SPOT RW-260629-134103  ·  iQuote #223376  ·  BECAME A JOB</t>
        </is>
      </c>
    </row>
    <row r="30">
      <c r="A30" s="9" t="inlineStr">
        <is>
          <t xml:space="preserve">    D26-0126 Header</t>
        </is>
      </c>
      <c r="B30" s="9" t="inlineStr">
        <is>
          <t>Gloss print · CAD Cut · 254" rule</t>
        </is>
      </c>
      <c r="C30" s="9" t="n">
        <v>75</v>
      </c>
      <c r="D30" s="9" t="n">
        <v>949.34</v>
      </c>
      <c r="E30" s="9" t="n">
        <v>12.658</v>
      </c>
      <c r="F30" s="9" t="n">
        <v>766.88</v>
      </c>
      <c r="G30" s="9" t="n">
        <v>182.46</v>
      </c>
      <c r="H30" s="9" t="inlineStr">
        <is>
          <t>+23.8%</t>
        </is>
      </c>
    </row>
    <row r="31">
      <c r="A31" s="9" t="inlineStr">
        <is>
          <t xml:space="preserve">    D26-0131 Graphic Panel</t>
        </is>
      </c>
      <c r="B31" s="9" t="inlineStr">
        <is>
          <t>Gloss print · CAD Cut · 334" rule</t>
        </is>
      </c>
      <c r="C31" s="9" t="n">
        <v>150</v>
      </c>
      <c r="D31" s="9" t="n">
        <v>1358.05</v>
      </c>
      <c r="E31" s="9" t="n">
        <v>9.054</v>
      </c>
      <c r="F31" s="9" t="n">
        <v>1303.63</v>
      </c>
      <c r="G31" s="9" t="n">
        <v>54.42</v>
      </c>
      <c r="H31" s="9" t="inlineStr">
        <is>
          <t>+4.2%</t>
        </is>
      </c>
    </row>
    <row r="32">
      <c r="A32" s="10" t="inlineStr">
        <is>
          <t xml:space="preserve">    TOTAL SELL @ qty 75/150 kit</t>
        </is>
      </c>
      <c r="D32" s="10" t="n">
        <v>3515.4</v>
      </c>
      <c r="F32" s="10" t="n">
        <v>3134.12</v>
      </c>
      <c r="G32" s="10" t="n">
        <v>381.28</v>
      </c>
      <c r="H32" s="10" t="inlineStr">
        <is>
          <t>+12.2%</t>
        </is>
      </c>
      <c r="I32" s="15" t="inlineStr">
        <is>
          <t>REVIEW</t>
        </is>
      </c>
    </row>
    <row r="34">
      <c r="A34" s="8" t="inlineStr">
        <is>
          <t>Kent Displays Mailer &amp; Insert:   SPOT RW-260706-094426  ·  iQuote #223488</t>
        </is>
      </c>
    </row>
    <row r="35">
      <c r="A35" s="9" t="inlineStr">
        <is>
          <t xml:space="preserve">    Mailer - Digital Print outside only, CAD Cut</t>
        </is>
      </c>
      <c r="B35" s="9" t="inlineStr">
        <is>
          <t>Satin print · CAD Cut · 277" rule</t>
        </is>
      </c>
      <c r="C35" s="9" t="n">
        <v>300</v>
      </c>
      <c r="D35" s="9" t="n">
        <v>1376.32</v>
      </c>
      <c r="E35" s="9" t="n">
        <v>4.588</v>
      </c>
      <c r="F35" s="9" t="n">
        <v>1096.04</v>
      </c>
      <c r="G35" s="9" t="n">
        <v>280.28</v>
      </c>
      <c r="H35" s="9" t="inlineStr">
        <is>
          <t>+25.6%</t>
        </is>
      </c>
    </row>
    <row r="36">
      <c r="A36" s="10" t="inlineStr">
        <is>
          <t xml:space="preserve">    TOTAL SELL @ qty 300</t>
        </is>
      </c>
      <c r="D36" s="10" t="n">
        <v>1952.9</v>
      </c>
      <c r="F36" s="10" t="n">
        <v>1548.37</v>
      </c>
      <c r="G36" s="10" t="n">
        <v>404.53</v>
      </c>
      <c r="H36" s="10" t="inlineStr">
        <is>
          <t>+26.1%</t>
        </is>
      </c>
      <c r="I36" s="11" t="inlineStr">
        <is>
          <t>FAIL</t>
        </is>
      </c>
    </row>
    <row r="37">
      <c r="A37" s="14" t="inlineStr">
        <is>
          <t xml:space="preserve">    note: per-component; 4 inserts have no iQuote counterpart</t>
        </is>
      </c>
    </row>
    <row r="39">
      <c r="A39" s="8" t="inlineStr">
        <is>
          <t>Kent Displays Mailer &amp; Insert:   SPOT RW-260706-094426  ·  iQuote #223488</t>
        </is>
      </c>
    </row>
    <row r="40">
      <c r="A40" s="9" t="inlineStr">
        <is>
          <t xml:space="preserve">    Mailer - Digital Print outside AND inside, CAD Cut</t>
        </is>
      </c>
      <c r="B40" s="9" t="inlineStr">
        <is>
          <t>Satin print · CAD Cut · 277" rule</t>
        </is>
      </c>
      <c r="C40" s="9" t="n">
        <v>300</v>
      </c>
      <c r="D40" s="9" t="n">
        <v>1225.43</v>
      </c>
      <c r="E40" s="9" t="n">
        <v>4.085</v>
      </c>
      <c r="F40" s="9" t="n">
        <v>1384.5</v>
      </c>
      <c r="G40" s="9" t="n">
        <v>-159.07</v>
      </c>
      <c r="H40" s="9" t="inlineStr">
        <is>
          <t>-11.5%</t>
        </is>
      </c>
    </row>
    <row r="41">
      <c r="A41" s="10" t="inlineStr">
        <is>
          <t xml:space="preserve">    TOTAL SELL @ qty 300</t>
        </is>
      </c>
      <c r="D41" s="10" t="n">
        <v>1915.76</v>
      </c>
      <c r="F41" s="10" t="n">
        <v>2031.1</v>
      </c>
      <c r="G41" s="10" t="n">
        <v>-115.34</v>
      </c>
      <c r="H41" s="10" t="inlineStr">
        <is>
          <t>-5.7%</t>
        </is>
      </c>
      <c r="I41" s="12" t="inlineStr">
        <is>
          <t>PASS</t>
        </is>
      </c>
    </row>
    <row r="42">
      <c r="A42" s="14" t="inlineStr">
        <is>
          <t xml:space="preserve">    note: per-component</t>
        </is>
      </c>
    </row>
    <row r="44">
      <c r="A44" s="8" t="inlineStr">
        <is>
          <t>48 Count Nacho Fiesta:   SPOT RW-260706-110912  ·  iQuote #223498</t>
        </is>
      </c>
    </row>
    <row r="45">
      <c r="A45" s="9" t="inlineStr">
        <is>
          <t xml:space="preserve">    Display Header</t>
        </is>
      </c>
      <c r="B45" s="9" t="inlineStr">
        <is>
          <t>Gloss print · CAD Cut · 80" rule</t>
        </is>
      </c>
      <c r="C45" s="9" t="n">
        <v>250</v>
      </c>
      <c r="D45" s="9" t="n">
        <v>614.54</v>
      </c>
      <c r="E45" s="9" t="n">
        <v>2.458</v>
      </c>
      <c r="F45" s="9" t="n">
        <v>582.01</v>
      </c>
      <c r="G45" s="9" t="n">
        <v>32.53</v>
      </c>
      <c r="H45" s="9" t="inlineStr">
        <is>
          <t>+5.6%</t>
        </is>
      </c>
    </row>
    <row r="46">
      <c r="A46" s="10" t="inlineStr">
        <is>
          <t xml:space="preserve">    TOTAL SELL @ qty 250</t>
        </is>
      </c>
      <c r="D46" s="10" t="n">
        <v>991.12</v>
      </c>
      <c r="F46" s="10" t="n">
        <v>818.97</v>
      </c>
      <c r="G46" s="10" t="n">
        <v>172.15</v>
      </c>
      <c r="H46" s="10" t="inlineStr">
        <is>
          <t>+21.0%</t>
        </is>
      </c>
      <c r="I46" s="11" t="inlineStr">
        <is>
          <t>FAIL</t>
        </is>
      </c>
    </row>
    <row r="48">
      <c r="A48" s="8" t="inlineStr">
        <is>
          <t>48 Count Nacho Fiesta:   SPOT RW-260706-110912  ·  iQuote #223498</t>
        </is>
      </c>
    </row>
    <row r="49">
      <c r="A49" s="9" t="inlineStr">
        <is>
          <t xml:space="preserve">    Display Header</t>
        </is>
      </c>
      <c r="B49" s="9" t="inlineStr">
        <is>
          <t>Gloss print · CAD Cut · 80" rule</t>
        </is>
      </c>
      <c r="C49" s="9" t="n">
        <v>350</v>
      </c>
      <c r="D49" s="9" t="n">
        <v>723.21</v>
      </c>
      <c r="E49" s="9" t="n">
        <v>2.066</v>
      </c>
      <c r="F49" s="9" t="n">
        <v>678.4299999999999</v>
      </c>
      <c r="G49" s="9" t="n">
        <v>44.78</v>
      </c>
      <c r="H49" s="9" t="inlineStr">
        <is>
          <t>+6.6%</t>
        </is>
      </c>
    </row>
    <row r="50">
      <c r="A50" s="10" t="inlineStr">
        <is>
          <t xml:space="preserve">    TOTAL SELL @ qty 350</t>
        </is>
      </c>
      <c r="D50" s="10" t="n">
        <v>1208.46</v>
      </c>
      <c r="F50" s="10" t="n">
        <v>958.6</v>
      </c>
      <c r="G50" s="10" t="n">
        <v>249.86</v>
      </c>
      <c r="H50" s="10" t="inlineStr">
        <is>
          <t>+26.1%</t>
        </is>
      </c>
      <c r="I50" s="11" t="inlineStr">
        <is>
          <t>FAIL</t>
        </is>
      </c>
    </row>
    <row r="52">
      <c r="A52" s="8" t="inlineStr">
        <is>
          <t>48 Count Nacho Fiesta:   SPOT RW-260706-110912  ·  iQuote #223498</t>
        </is>
      </c>
    </row>
    <row r="53">
      <c r="A53" s="9" t="inlineStr">
        <is>
          <t xml:space="preserve">    Display Header</t>
        </is>
      </c>
      <c r="B53" s="9" t="inlineStr">
        <is>
          <t>Gloss print · CAD Cut · 80" rule</t>
        </is>
      </c>
      <c r="C53" s="9" t="n">
        <v>500</v>
      </c>
      <c r="D53" s="9" t="n">
        <v>858.3</v>
      </c>
      <c r="E53" s="9" t="n">
        <v>1.717</v>
      </c>
      <c r="F53" s="9" t="n">
        <v>823.05</v>
      </c>
      <c r="G53" s="9" t="n">
        <v>35.25</v>
      </c>
      <c r="H53" s="9" t="inlineStr">
        <is>
          <t>+4.3%</t>
        </is>
      </c>
    </row>
    <row r="54">
      <c r="A54" s="10" t="inlineStr">
        <is>
          <t xml:space="preserve">    TOTAL SELL @ qty 500</t>
        </is>
      </c>
      <c r="D54" s="10" t="n">
        <v>1478.65</v>
      </c>
      <c r="F54" s="10" t="n">
        <v>1168.02</v>
      </c>
      <c r="G54" s="10" t="n">
        <v>310.63</v>
      </c>
      <c r="H54" s="10" t="inlineStr">
        <is>
          <t>+26.6%</t>
        </is>
      </c>
      <c r="I54" s="11" t="inlineStr">
        <is>
          <t>FAIL</t>
        </is>
      </c>
    </row>
    <row r="56">
      <c r="A56" s="8" t="inlineStr">
        <is>
          <t>48 Count Nacho Fiesta:   SPOT RW-260706-110912  ·  iQuote #223498</t>
        </is>
      </c>
    </row>
    <row r="57">
      <c r="A57" s="9" t="inlineStr">
        <is>
          <t xml:space="preserve">    Display Header</t>
        </is>
      </c>
      <c r="B57" s="9" t="inlineStr">
        <is>
          <t>Gloss print · CAD Cut · 80" rule</t>
        </is>
      </c>
      <c r="C57" s="9" t="n">
        <v>750</v>
      </c>
      <c r="D57" s="9" t="n">
        <v>1074.46</v>
      </c>
      <c r="E57" s="9" t="n">
        <v>1.433</v>
      </c>
      <c r="F57" s="9" t="n">
        <v>1064.09</v>
      </c>
      <c r="G57" s="9" t="n">
        <v>10.37</v>
      </c>
      <c r="H57" s="9" t="inlineStr">
        <is>
          <t>+1.0%</t>
        </is>
      </c>
    </row>
    <row r="58">
      <c r="A58" s="10" t="inlineStr">
        <is>
          <t xml:space="preserve">    TOTAL SELL @ qty 750</t>
        </is>
      </c>
      <c r="D58" s="10" t="n">
        <v>1565.74</v>
      </c>
      <c r="F58" s="10" t="n">
        <v>1517.07</v>
      </c>
      <c r="G58" s="10" t="n">
        <v>48.67</v>
      </c>
      <c r="H58" s="10" t="inlineStr">
        <is>
          <t>+3.2%</t>
        </is>
      </c>
      <c r="I58" s="12" t="inlineStr">
        <is>
          <t>PASS</t>
        </is>
      </c>
    </row>
    <row r="60">
      <c r="A60" s="8" t="inlineStr">
        <is>
          <t>C8(C9) 26 LP Meijer Elvive Floorstand - 129729:   SPOT RW-260709-132147  ·  iQuote #221998</t>
        </is>
      </c>
    </row>
    <row r="61">
      <c r="A61" s="9" t="inlineStr">
        <is>
          <t xml:space="preserve">    Shelves (3 versions)</t>
        </is>
      </c>
      <c r="B61" s="9" t="inlineStr">
        <is>
          <t>Satin print · Die Cut (Crest) · 384" rule</t>
        </is>
      </c>
      <c r="C61" s="9" t="n">
        <v>1575</v>
      </c>
      <c r="D61" s="9" t="n">
        <v>9499.35</v>
      </c>
      <c r="E61" s="9" t="n">
        <v>6.031</v>
      </c>
    </row>
    <row r="62">
      <c r="A62" s="9" t="inlineStr">
        <is>
          <t xml:space="preserve">    Inside Back Panel</t>
        </is>
      </c>
      <c r="B62" s="9" t="inlineStr">
        <is>
          <t>Gloss print · Die Cut (Crest) · 464" rule</t>
        </is>
      </c>
      <c r="C62" s="9" t="n">
        <v>525</v>
      </c>
      <c r="D62" s="9" t="n">
        <v>4925.14</v>
      </c>
      <c r="E62" s="9" t="n">
        <v>9.381</v>
      </c>
    </row>
    <row r="63">
      <c r="A63" s="9" t="inlineStr">
        <is>
          <t xml:space="preserve">    Left Hand Side</t>
        </is>
      </c>
      <c r="B63" s="9" t="inlineStr">
        <is>
          <t>Satin print · Die Cut (Crest) · Hand Stripped · 479" rule</t>
        </is>
      </c>
      <c r="C63" s="9" t="n">
        <v>525</v>
      </c>
      <c r="D63" s="9" t="n">
        <v>2748.58</v>
      </c>
      <c r="E63" s="9" t="n">
        <v>5.235</v>
      </c>
      <c r="F63" s="9" t="n">
        <v>3742.37</v>
      </c>
      <c r="G63" s="9" t="n">
        <v>-993.79</v>
      </c>
      <c r="H63" s="9" t="inlineStr">
        <is>
          <t>-26.6%</t>
        </is>
      </c>
    </row>
    <row r="64">
      <c r="A64" s="9" t="inlineStr">
        <is>
          <t xml:space="preserve">    Right Hand Side</t>
        </is>
      </c>
      <c r="B64" s="9" t="inlineStr">
        <is>
          <t>Satin print · Die Cut (Crest) · Hand Stripped · 479" rule</t>
        </is>
      </c>
      <c r="C64" s="9" t="n">
        <v>525</v>
      </c>
      <c r="D64" s="9" t="n">
        <v>2748.58</v>
      </c>
      <c r="E64" s="9" t="n">
        <v>5.235</v>
      </c>
      <c r="F64" s="9" t="n">
        <v>3742.37</v>
      </c>
      <c r="G64" s="9" t="n">
        <v>-993.79</v>
      </c>
      <c r="H64" s="9" t="inlineStr">
        <is>
          <t>-26.6%</t>
        </is>
      </c>
    </row>
    <row r="65">
      <c r="A65" s="9" t="inlineStr">
        <is>
          <t xml:space="preserve">    Base Panel</t>
        </is>
      </c>
      <c r="B65" s="9" t="inlineStr">
        <is>
          <t>Satin print · CAD Cut · Hand Stripped · 285" rule</t>
        </is>
      </c>
      <c r="C65" s="9" t="n">
        <v>525</v>
      </c>
      <c r="D65" s="9" t="n">
        <v>2619.45</v>
      </c>
      <c r="E65" s="9" t="n">
        <v>4.989</v>
      </c>
      <c r="F65" s="9" t="n">
        <v>3479.43</v>
      </c>
      <c r="G65" s="9" t="n">
        <v>-859.98</v>
      </c>
      <c r="H65" s="9" t="inlineStr">
        <is>
          <t>-24.7%</t>
        </is>
      </c>
    </row>
    <row r="66">
      <c r="A66" s="9" t="inlineStr">
        <is>
          <t xml:space="preserve">    Product Box - Machine Run, Glue In</t>
        </is>
      </c>
      <c r="B66" s="9" t="inlineStr">
        <is>
          <t>Satin print · Die Cut (Crest) · Glued (1 jt) · 367" rule</t>
        </is>
      </c>
      <c r="C66" s="9" t="n">
        <v>525</v>
      </c>
      <c r="D66" s="9" t="n">
        <v>2831.61</v>
      </c>
      <c r="E66" s="9" t="n">
        <v>5.394</v>
      </c>
    </row>
    <row r="67">
      <c r="A67" s="10" t="inlineStr">
        <is>
          <t xml:space="preserve">    TOTAL SELL @ qty 525 kit</t>
        </is>
      </c>
      <c r="D67" s="10" t="n">
        <v>34381.73</v>
      </c>
      <c r="F67" s="10" t="n">
        <v>40873.15</v>
      </c>
      <c r="G67" s="10" t="n">
        <v>-6491.42</v>
      </c>
      <c r="H67" s="10" t="inlineStr">
        <is>
          <t>-15.9%</t>
        </is>
      </c>
      <c r="I67" s="15" t="inlineStr">
        <is>
          <t>REVIEW</t>
        </is>
      </c>
    </row>
    <row r="68">
      <c r="A68" s="14" t="inlineStr">
        <is>
          <t xml:space="preserve">    note: Riser excluded (not in SPOT est)</t>
        </is>
      </c>
    </row>
    <row r="70">
      <c r="A70" s="8" t="inlineStr">
        <is>
          <t>Re-Frame Display - Walmart (HOT Prototype):   SPOT RW-260717-111921  ·  iQuote #223706</t>
        </is>
      </c>
    </row>
    <row r="71">
      <c r="A71" s="9" t="inlineStr">
        <is>
          <t xml:space="preserve">    Middle Base</t>
        </is>
      </c>
      <c r="B71" s="9" t="inlineStr">
        <is>
          <t>Satin print · CAD Cut · Hand Stripped · 958" rule</t>
        </is>
      </c>
      <c r="C71" s="9" t="n">
        <v>2</v>
      </c>
      <c r="D71" s="9" t="n">
        <v>317.63</v>
      </c>
      <c r="E71" s="9" t="n">
        <v>158.815</v>
      </c>
    </row>
    <row r="72">
      <c r="A72" s="9" t="inlineStr">
        <is>
          <t xml:space="preserve">    Shelf</t>
        </is>
      </c>
      <c r="B72" s="9" t="inlineStr">
        <is>
          <t>Satin print · CAD Cut · 279" rule</t>
        </is>
      </c>
      <c r="C72" s="9" t="n">
        <v>8</v>
      </c>
      <c r="D72" s="9" t="n">
        <v>328.1</v>
      </c>
      <c r="E72" s="9" t="n">
        <v>41.013</v>
      </c>
      <c r="F72" s="9" t="n">
        <v>209.83</v>
      </c>
      <c r="G72" s="9" t="n">
        <v>118.27</v>
      </c>
      <c r="H72" s="9" t="inlineStr">
        <is>
          <t>+56.4%</t>
        </is>
      </c>
    </row>
    <row r="73">
      <c r="A73" s="9" t="inlineStr">
        <is>
          <t xml:space="preserve">    Columns</t>
        </is>
      </c>
      <c r="B73" s="9" t="inlineStr">
        <is>
          <t>Satin print · CAD Cut · Glued (1 jt) · 559" rule</t>
        </is>
      </c>
      <c r="C73" s="9" t="n">
        <v>4</v>
      </c>
      <c r="D73" s="9" t="n">
        <v>360.4</v>
      </c>
      <c r="E73" s="9" t="n">
        <v>90.09999999999999</v>
      </c>
      <c r="F73" s="9" t="n">
        <v>253.56</v>
      </c>
      <c r="G73" s="9" t="n">
        <v>106.84</v>
      </c>
      <c r="H73" s="9" t="inlineStr">
        <is>
          <t>+42.1%</t>
        </is>
      </c>
    </row>
    <row r="74">
      <c r="A74" s="9" t="inlineStr">
        <is>
          <t xml:space="preserve">    Base Tray</t>
        </is>
      </c>
      <c r="B74" s="9" t="inlineStr">
        <is>
          <t>Satin print · CAD Cut · 697" rule</t>
        </is>
      </c>
      <c r="C74" s="9" t="n">
        <v>2</v>
      </c>
      <c r="D74" s="9" t="n">
        <v>313.81</v>
      </c>
      <c r="E74" s="9" t="n">
        <v>156.905</v>
      </c>
      <c r="F74" s="9" t="n">
        <v>217.98</v>
      </c>
      <c r="G74" s="9" t="n">
        <v>95.83</v>
      </c>
      <c r="H74" s="9" t="inlineStr">
        <is>
          <t>+44.0%</t>
        </is>
      </c>
    </row>
    <row r="75">
      <c r="A75" s="9" t="inlineStr">
        <is>
          <t xml:space="preserve">    Header</t>
        </is>
      </c>
      <c r="B75" s="9" t="inlineStr">
        <is>
          <t>Satin print · CAD Cut · 135" rule</t>
        </is>
      </c>
      <c r="C75" s="9" t="n">
        <v>2</v>
      </c>
      <c r="D75" s="9" t="n">
        <v>275.25</v>
      </c>
      <c r="E75" s="9" t="n">
        <v>137.625</v>
      </c>
      <c r="F75" s="9" t="n">
        <v>164.97</v>
      </c>
      <c r="G75" s="9" t="n">
        <v>110.28</v>
      </c>
      <c r="H75" s="9" t="inlineStr">
        <is>
          <t>+66.8%</t>
        </is>
      </c>
    </row>
    <row r="76">
      <c r="A76" s="9" t="inlineStr">
        <is>
          <t xml:space="preserve">    Display Tray</t>
        </is>
      </c>
      <c r="B76" s="9" t="inlineStr">
        <is>
          <t>Satin print · CAD Cut · 296" rule</t>
        </is>
      </c>
      <c r="C76" s="9" t="n">
        <v>2</v>
      </c>
      <c r="D76" s="9" t="n">
        <v>276.67</v>
      </c>
      <c r="E76" s="9" t="n">
        <v>138.335</v>
      </c>
      <c r="F76" s="9" t="n">
        <v>192.39</v>
      </c>
      <c r="G76" s="9" t="n">
        <v>84.28</v>
      </c>
      <c r="H76" s="9" t="inlineStr">
        <is>
          <t>+43.8%</t>
        </is>
      </c>
    </row>
    <row r="77">
      <c r="A77" s="10" t="inlineStr">
        <is>
          <t xml:space="preserve">    TOTAL SELL @ qty 2/4/8 kit</t>
        </is>
      </c>
      <c r="D77" s="10" t="n">
        <v>2859.44</v>
      </c>
      <c r="F77" s="10" t="n">
        <v>1803.46</v>
      </c>
      <c r="G77" s="10" t="n">
        <v>1055.98</v>
      </c>
      <c r="H77" s="10" t="inlineStr">
        <is>
          <t>+58.6%</t>
        </is>
      </c>
      <c r="I77" s="11" t="inlineStr">
        <is>
          <t>FAIL</t>
        </is>
      </c>
    </row>
    <row r="79">
      <c r="A79" s="8" t="inlineStr">
        <is>
          <t>J63068 - Moen Lowes Prepacks (Project 7655):   SPOT RW-260720-082503  ·  iQuote #223583  ·  BECAME A JOB   [OUTLIER — see detailed workbook]</t>
        </is>
      </c>
    </row>
    <row r="80">
      <c r="A80" s="9" t="inlineStr">
        <is>
          <t xml:space="preserve">    Header </t>
        </is>
      </c>
      <c r="B80" s="9" t="inlineStr">
        <is>
          <t>Gloss print · CAD Cut · Hand Stripped · 117" rule</t>
        </is>
      </c>
      <c r="C80" s="9" t="n">
        <v>918</v>
      </c>
      <c r="D80" s="9" t="n">
        <v>2333.29</v>
      </c>
      <c r="E80" s="9" t="n">
        <v>2.542</v>
      </c>
    </row>
    <row r="81">
      <c r="A81" s="9" t="inlineStr">
        <is>
          <t xml:space="preserve">    Header </t>
        </is>
      </c>
      <c r="B81" s="9" t="inlineStr">
        <is>
          <t>Gloss print · CAD Cut · Hand Stripped · 117" rule</t>
        </is>
      </c>
      <c r="C81" s="9" t="n">
        <v>1750</v>
      </c>
      <c r="D81" s="9" t="n">
        <v>4029.25</v>
      </c>
      <c r="E81" s="9" t="n">
        <v>2.302</v>
      </c>
    </row>
    <row r="82">
      <c r="A82" s="10" t="inlineStr">
        <is>
          <t xml:space="preserve">    TOTAL SELL @ qty 918+1750</t>
        </is>
      </c>
      <c r="D82" s="10" t="n">
        <v>9023.129999999999</v>
      </c>
      <c r="F82" s="10" t="n">
        <v>16354.54</v>
      </c>
      <c r="G82" s="10" t="n">
        <v>-7331.41</v>
      </c>
      <c r="H82" s="10" t="inlineStr">
        <is>
          <t>-44.8%</t>
        </is>
      </c>
      <c r="I82" s="11" t="inlineStr">
        <is>
          <t>FAIL</t>
        </is>
      </c>
    </row>
    <row r="83">
      <c r="A83" s="14" t="inlineStr">
        <is>
          <t xml:space="preserve">    note: SPOT: 1 comp x 2 qty; iQuote: 2 products 919+1751</t>
        </is>
      </c>
    </row>
    <row r="85">
      <c r="A85" s="8" t="inlineStr">
        <is>
          <t>TSC Holiday Iams Cat Mixed Full Pallet:   SPOT RW-260720-083107  ·  iQuote #223752</t>
        </is>
      </c>
    </row>
    <row r="86">
      <c r="A86" s="9" t="inlineStr">
        <is>
          <t xml:space="preserve">    Corner Graphic</t>
        </is>
      </c>
      <c r="B86" s="9" t="inlineStr">
        <is>
          <t>Gloss print · CAD Cut · Hand Stripped · Tape (Reinforced x1) · 136" rule</t>
        </is>
      </c>
      <c r="C86" s="9" t="n">
        <v>600</v>
      </c>
      <c r="D86" s="9" t="n">
        <v>2340.35</v>
      </c>
      <c r="E86" s="9" t="n">
        <v>3.901</v>
      </c>
      <c r="F86" s="9" t="n">
        <v>1988.75</v>
      </c>
      <c r="G86" s="9" t="n">
        <v>351.6</v>
      </c>
      <c r="H86" s="9" t="inlineStr">
        <is>
          <t>+17.7%</t>
        </is>
      </c>
    </row>
    <row r="87">
      <c r="A87" s="10" t="inlineStr">
        <is>
          <t xml:space="preserve">    TOTAL SELL @ qty 600</t>
        </is>
      </c>
      <c r="D87" s="10" t="n">
        <v>3418.16</v>
      </c>
      <c r="F87" s="10" t="n">
        <v>2931.56</v>
      </c>
      <c r="G87" s="10" t="n">
        <v>486.6</v>
      </c>
      <c r="H87" s="10" t="inlineStr">
        <is>
          <t>+16.6%</t>
        </is>
      </c>
      <c r="I87" s="15" t="inlineStr">
        <is>
          <t>REVIEW</t>
        </is>
      </c>
    </row>
    <row r="89">
      <c r="A89" s="8" t="inlineStr">
        <is>
          <t>3M Wall Repair Kit:   SPOT RW-260720-093753  ·  iQuote #221299</t>
        </is>
      </c>
    </row>
    <row r="90">
      <c r="A90" s="9" t="inlineStr">
        <is>
          <t xml:space="preserve">    Standard Wall Repair Kit Box</t>
        </is>
      </c>
      <c r="B90" s="9" t="inlineStr">
        <is>
          <t>Satin print · CAD Cut · Hand Stripped · 311" rule</t>
        </is>
      </c>
      <c r="C90" s="9" t="n">
        <v>300</v>
      </c>
      <c r="D90" s="9" t="n">
        <v>1453.25</v>
      </c>
      <c r="E90" s="9" t="n">
        <v>4.844</v>
      </c>
      <c r="F90" s="9" t="n">
        <v>1259.91</v>
      </c>
      <c r="G90" s="9" t="n">
        <v>193.34</v>
      </c>
      <c r="H90" s="9" t="inlineStr">
        <is>
          <t>+15.3%</t>
        </is>
      </c>
    </row>
    <row r="91">
      <c r="A91" s="9" t="inlineStr">
        <is>
          <t xml:space="preserve">    Premium Wall Repair Kit Box</t>
        </is>
      </c>
      <c r="B91" s="9" t="inlineStr">
        <is>
          <t>Satin print · CAD Cut · Hand Stripped · 343" rule</t>
        </is>
      </c>
      <c r="C91" s="9" t="n">
        <v>30</v>
      </c>
      <c r="D91" s="9" t="n">
        <v>389.75</v>
      </c>
      <c r="E91" s="9" t="n">
        <v>12.992</v>
      </c>
      <c r="F91" s="9" t="n">
        <v>395.56</v>
      </c>
      <c r="G91" s="9" t="n">
        <v>-5.81</v>
      </c>
      <c r="H91" s="9" t="inlineStr">
        <is>
          <t>-1.5%</t>
        </is>
      </c>
    </row>
    <row r="92">
      <c r="A92" s="10" t="inlineStr">
        <is>
          <t xml:space="preserve">    TOTAL SELL @ qty 30/300 kit</t>
        </is>
      </c>
      <c r="D92" s="10" t="n">
        <v>3006.89</v>
      </c>
      <c r="F92" s="10" t="n">
        <v>2570.16</v>
      </c>
      <c r="G92" s="10" t="n">
        <v>436.73</v>
      </c>
      <c r="H92" s="10" t="inlineStr">
        <is>
          <t>+17.0%</t>
        </is>
      </c>
      <c r="I92" s="15" t="inlineStr">
        <is>
          <t>REVIEW</t>
        </is>
      </c>
    </row>
    <row r="94">
      <c r="A94" s="8" t="inlineStr">
        <is>
          <t>Trad Favorites:   SPOT RW-260720-112723  ·  iQuote #223707</t>
        </is>
      </c>
    </row>
    <row r="95">
      <c r="A95" s="9" t="inlineStr">
        <is>
          <t xml:space="preserve">    D/C Tray</t>
        </is>
      </c>
      <c r="B95" s="9" t="inlineStr">
        <is>
          <t>Gloss print · CAD Cut · Hand Stripped · 140" rule</t>
        </is>
      </c>
      <c r="C95" s="9" t="n">
        <v>1300</v>
      </c>
      <c r="D95" s="9" t="n">
        <v>2686.21</v>
      </c>
      <c r="E95" s="9" t="n">
        <v>2.066</v>
      </c>
      <c r="F95" s="9" t="n">
        <v>3634.81</v>
      </c>
      <c r="G95" s="9" t="n">
        <v>-948.6</v>
      </c>
      <c r="H95" s="9" t="inlineStr">
        <is>
          <t>-26.1%</t>
        </is>
      </c>
    </row>
    <row r="96">
      <c r="A96" s="10" t="inlineStr">
        <is>
          <t xml:space="preserve">    TOTAL SELL @ qty 1300</t>
        </is>
      </c>
      <c r="D96" s="10" t="n">
        <v>3661.24</v>
      </c>
      <c r="F96" s="10" t="n">
        <v>5528.87</v>
      </c>
      <c r="G96" s="10" t="n">
        <v>-1867.63</v>
      </c>
      <c r="H96" s="10" t="inlineStr">
        <is>
          <t>-33.8%</t>
        </is>
      </c>
      <c r="I96" s="11" t="inlineStr">
        <is>
          <t>FAIL</t>
        </is>
      </c>
    </row>
    <row r="98">
      <c r="A98" s="8" t="inlineStr">
        <is>
          <t>Vitamix 154042 POP - 2pc / 154727:   SPOT RW-260720-132349  ·  iQuote #223702</t>
        </is>
      </c>
    </row>
    <row r="99">
      <c r="A99" s="9" t="inlineStr">
        <is>
          <t xml:space="preserve">    Vitamix POP Component 1 of 2</t>
        </is>
      </c>
      <c r="B99" s="9" t="inlineStr">
        <is>
          <t>Gloss print · Die Cut (Crest) · Hand Stripped · Glued (1 jt) · 381" rule</t>
        </is>
      </c>
      <c r="C99" s="9" t="n">
        <v>250</v>
      </c>
      <c r="D99" s="9" t="n">
        <v>2833.71</v>
      </c>
      <c r="E99" s="9" t="n">
        <v>11.335</v>
      </c>
    </row>
    <row r="100">
      <c r="A100" s="9" t="inlineStr">
        <is>
          <t xml:space="preserve">    Vitamix POP Component 2 of 2</t>
        </is>
      </c>
      <c r="B100" s="9" t="inlineStr">
        <is>
          <t>Gloss print · Die Cut (Crest) · Hand Stripped · Glued (1 jt) · 365" rule</t>
        </is>
      </c>
      <c r="C100" s="9" t="n">
        <v>250</v>
      </c>
      <c r="D100" s="9" t="n">
        <v>2833.71</v>
      </c>
      <c r="E100" s="9" t="n">
        <v>11.335</v>
      </c>
    </row>
    <row r="101">
      <c r="A101" s="10" t="inlineStr">
        <is>
          <t xml:space="preserve">    TOTAL SELL @ qty 250</t>
        </is>
      </c>
      <c r="D101" s="10" t="n">
        <v>7744.83</v>
      </c>
      <c r="F101" s="10" t="n">
        <v>9166.92</v>
      </c>
      <c r="G101" s="10" t="n">
        <v>-1422.09</v>
      </c>
      <c r="H101" s="10" t="inlineStr">
        <is>
          <t>-15.5%</t>
        </is>
      </c>
      <c r="I101" s="15" t="inlineStr">
        <is>
          <t>REVIEW</t>
        </is>
      </c>
    </row>
    <row r="103">
      <c r="A103" s="8" t="inlineStr">
        <is>
          <t>Vitamix 154042 POP - 2pc / 154727:   SPOT RW-260720-132349  ·  iQuote #223702</t>
        </is>
      </c>
    </row>
    <row r="104">
      <c r="A104" s="9" t="inlineStr">
        <is>
          <t xml:space="preserve">    Vitamix POP Component 1 of 2</t>
        </is>
      </c>
      <c r="B104" s="9" t="inlineStr">
        <is>
          <t>Gloss print · Die Cut (Crest) · Hand Stripped · Glued (1 jt) · 381" rule</t>
        </is>
      </c>
      <c r="C104" s="9" t="n">
        <v>500</v>
      </c>
      <c r="D104" s="9" t="n">
        <v>5253.93</v>
      </c>
      <c r="E104" s="9" t="n">
        <v>10.508</v>
      </c>
    </row>
    <row r="105">
      <c r="A105" s="9" t="inlineStr">
        <is>
          <t xml:space="preserve">    Vitamix POP Component 2 of 2</t>
        </is>
      </c>
      <c r="B105" s="9" t="inlineStr">
        <is>
          <t>Gloss print · Die Cut (Crest) · Hand Stripped · Glued (1 jt) · 365" rule</t>
        </is>
      </c>
      <c r="C105" s="9" t="n">
        <v>500</v>
      </c>
      <c r="D105" s="9" t="n">
        <v>5253.93</v>
      </c>
      <c r="E105" s="9" t="n">
        <v>10.508</v>
      </c>
    </row>
    <row r="106">
      <c r="A106" s="10" t="inlineStr">
        <is>
          <t xml:space="preserve">    TOTAL SELL @ qty 500</t>
        </is>
      </c>
      <c r="D106" s="10" t="n">
        <v>14000.47</v>
      </c>
      <c r="F106" s="10" t="n">
        <v>14908.08</v>
      </c>
      <c r="G106" s="10" t="n">
        <v>-907.61</v>
      </c>
      <c r="H106" s="10" t="inlineStr">
        <is>
          <t>-6.1%</t>
        </is>
      </c>
      <c r="I106" s="12" t="inlineStr">
        <is>
          <t>PASS</t>
        </is>
      </c>
    </row>
    <row r="108">
      <c r="A108" s="8" t="inlineStr">
        <is>
          <t>TR-10351 16x8.5x6:   SPOT RW-260720-133223  ·  iQuote #223701</t>
        </is>
      </c>
    </row>
    <row r="109">
      <c r="A109" s="9" t="inlineStr">
        <is>
          <t xml:space="preserve">    Front Tuck Mailer 16x8.5x6</t>
        </is>
      </c>
      <c r="B109" s="9" t="inlineStr">
        <is>
          <t>Gloss print · CAD Cut · Hand Stripped · 376" rule</t>
        </is>
      </c>
      <c r="C109" s="9" t="n">
        <v>100</v>
      </c>
      <c r="D109" s="9" t="n">
        <v>1283.18</v>
      </c>
      <c r="E109" s="9" t="n">
        <v>12.832</v>
      </c>
    </row>
    <row r="110">
      <c r="A110" s="9" t="inlineStr">
        <is>
          <t xml:space="preserve">    Front Tuck Mailer 16x8.5x3.25</t>
        </is>
      </c>
      <c r="B110" s="9" t="inlineStr">
        <is>
          <t>Gloss print · CAD Cut · 314" rule</t>
        </is>
      </c>
      <c r="C110" s="9" t="n">
        <v>100</v>
      </c>
      <c r="D110" s="9" t="n">
        <v>751.9299999999999</v>
      </c>
      <c r="E110" s="9" t="n">
        <v>7.519</v>
      </c>
    </row>
    <row r="111">
      <c r="A111" s="10" t="inlineStr">
        <is>
          <t xml:space="preserve">    TOTAL SELL @ qty 100</t>
        </is>
      </c>
      <c r="D111" s="10" t="n">
        <v>3337.89</v>
      </c>
      <c r="F111" s="10" t="n">
        <v>3463.91</v>
      </c>
      <c r="G111" s="10" t="n">
        <v>-126.02</v>
      </c>
      <c r="H111" s="10" t="inlineStr">
        <is>
          <t>-3.6%</t>
        </is>
      </c>
      <c r="I111" s="12" t="inlineStr">
        <is>
          <t>PASS</t>
        </is>
      </c>
    </row>
    <row r="113">
      <c r="A113" s="8" t="inlineStr">
        <is>
          <t>TR-10351 16x8.5x6:   SPOT RW-260720-133223  ·  iQuote #223701</t>
        </is>
      </c>
    </row>
    <row r="114">
      <c r="A114" s="9" t="inlineStr">
        <is>
          <t xml:space="preserve">    Front Tuck Mailer 16x8.5x6</t>
        </is>
      </c>
      <c r="B114" s="9" t="inlineStr">
        <is>
          <t>Gloss print · CAD Cut · Hand Stripped · 376" rule</t>
        </is>
      </c>
      <c r="C114" s="9" t="n">
        <v>200</v>
      </c>
      <c r="D114" s="9" t="n">
        <v>2233.83</v>
      </c>
      <c r="E114" s="9" t="n">
        <v>11.169</v>
      </c>
    </row>
    <row r="115">
      <c r="A115" s="9" t="inlineStr">
        <is>
          <t xml:space="preserve">    Front Tuck Mailer 16x8.5x3.25</t>
        </is>
      </c>
      <c r="B115" s="9" t="inlineStr">
        <is>
          <t>Gloss print · CAD Cut · 314" rule</t>
        </is>
      </c>
      <c r="C115" s="9" t="n">
        <v>200</v>
      </c>
      <c r="D115" s="9" t="n">
        <v>1141.07</v>
      </c>
      <c r="E115" s="9" t="n">
        <v>5.705</v>
      </c>
    </row>
    <row r="116">
      <c r="A116" s="10" t="inlineStr">
        <is>
          <t xml:space="preserve">    TOTAL SELL @ qty 200</t>
        </is>
      </c>
      <c r="D116" s="10" t="n">
        <v>4996.39</v>
      </c>
      <c r="F116" s="10" t="n">
        <v>5894.43</v>
      </c>
      <c r="G116" s="10" t="n">
        <v>-898.04</v>
      </c>
      <c r="H116" s="10" t="inlineStr">
        <is>
          <t>-15.2%</t>
        </is>
      </c>
      <c r="I116" s="15" t="inlineStr">
        <is>
          <t>REVIEW</t>
        </is>
      </c>
    </row>
    <row r="118">
      <c r="A118" s="8" t="inlineStr">
        <is>
          <t>TR-10351 16x8.5x6:   SPOT RW-260720-133223  ·  iQuote #223701</t>
        </is>
      </c>
    </row>
    <row r="119">
      <c r="A119" s="9" t="inlineStr">
        <is>
          <t xml:space="preserve">    Front Tuck Mailer 16x8.5x6</t>
        </is>
      </c>
      <c r="B119" s="9" t="inlineStr">
        <is>
          <t>Gloss print · CAD Cut · Hand Stripped · 376" rule</t>
        </is>
      </c>
      <c r="C119" s="9" t="n">
        <v>50</v>
      </c>
      <c r="D119" s="9" t="n">
        <v>805.13</v>
      </c>
      <c r="E119" s="9" t="n">
        <v>16.103</v>
      </c>
    </row>
    <row r="120">
      <c r="A120" s="9" t="inlineStr">
        <is>
          <t xml:space="preserve">    Front Tuck Mailer 16x8.5x3.25</t>
        </is>
      </c>
      <c r="B120" s="9" t="inlineStr">
        <is>
          <t>Gloss print · CAD Cut · 314" rule</t>
        </is>
      </c>
      <c r="C120" s="9" t="n">
        <v>50</v>
      </c>
      <c r="D120" s="9" t="n">
        <v>557.36</v>
      </c>
      <c r="E120" s="9" t="n">
        <v>11.147</v>
      </c>
    </row>
    <row r="121">
      <c r="A121" s="10" t="inlineStr">
        <is>
          <t xml:space="preserve">    TOTAL SELL @ qty 50</t>
        </is>
      </c>
      <c r="D121" s="10" t="n">
        <v>2449.07</v>
      </c>
      <c r="F121" s="10" t="n">
        <v>2142.17</v>
      </c>
      <c r="G121" s="10" t="n">
        <v>306.9</v>
      </c>
      <c r="H121" s="10" t="inlineStr">
        <is>
          <t>+14.3%</t>
        </is>
      </c>
      <c r="I121" s="15" t="inlineStr">
        <is>
          <t>REVIEW</t>
        </is>
      </c>
    </row>
    <row r="123">
      <c r="A123" s="8" t="inlineStr">
        <is>
          <t>Schaeffler Vehicle Lifetime P-17-EC-K251 87X87X43-INA Schachtel TEST:   SPOT RW-260720-134257  ·  iQuote #223689</t>
        </is>
      </c>
    </row>
    <row r="124">
      <c r="A124" s="9" t="inlineStr">
        <is>
          <t xml:space="preserve">    Digital direct print folding-style carton</t>
        </is>
      </c>
      <c r="B124" s="9" t="inlineStr">
        <is>
          <t>Gloss print · Die Cut (Crest) · Hand Stripped · Glued (3 jt)</t>
        </is>
      </c>
      <c r="C124" s="9" t="n">
        <v>700</v>
      </c>
      <c r="D124" s="9" t="n">
        <v>4262.3</v>
      </c>
      <c r="E124" s="9" t="n">
        <v>6.089</v>
      </c>
      <c r="F124" s="9" t="n">
        <v>3689.77</v>
      </c>
      <c r="G124" s="9" t="n">
        <v>572.53</v>
      </c>
      <c r="H124" s="9" t="inlineStr">
        <is>
          <t>+15.5%</t>
        </is>
      </c>
    </row>
    <row r="125">
      <c r="A125" s="10" t="inlineStr">
        <is>
          <t xml:space="preserve">    TOTAL SELL @ qty 700</t>
        </is>
      </c>
      <c r="D125" s="10" t="n">
        <v>5753.95</v>
      </c>
      <c r="F125" s="10" t="n">
        <v>4904.67</v>
      </c>
      <c r="G125" s="10" t="n">
        <v>849.28</v>
      </c>
      <c r="H125" s="10" t="inlineStr">
        <is>
          <t>+17.3%</t>
        </is>
      </c>
      <c r="I125" s="15" t="inlineStr">
        <is>
          <t>REVIEW</t>
        </is>
      </c>
    </row>
    <row r="127">
      <c r="A127" s="8" t="inlineStr">
        <is>
          <t>Fatt Boyy Knife &amp; Tool - Folding Knife Pizza Box:   SPOT RW-260721-102108  ·  iQuote #223785</t>
        </is>
      </c>
    </row>
    <row r="128">
      <c r="A128" s="9" t="inlineStr">
        <is>
          <t xml:space="preserve">    Folding Knife Pizza Box</t>
        </is>
      </c>
      <c r="B128" s="9" t="inlineStr">
        <is>
          <t>Satin print · CAD Cut · Hand Stripped · 111" rule</t>
        </is>
      </c>
      <c r="C128" s="9" t="n">
        <v>500</v>
      </c>
      <c r="D128" s="9" t="n">
        <v>651.79</v>
      </c>
      <c r="E128" s="9" t="n">
        <v>1.304</v>
      </c>
      <c r="F128" s="9" t="n">
        <v>795.49</v>
      </c>
      <c r="G128" s="9" t="n">
        <v>-143.7</v>
      </c>
      <c r="H128" s="9" t="inlineStr">
        <is>
          <t>-18.1%</t>
        </is>
      </c>
    </row>
    <row r="129">
      <c r="A129" s="10" t="inlineStr">
        <is>
          <t xml:space="preserve">    TOTAL SELL @ qty 500</t>
        </is>
      </c>
      <c r="D129" s="10" t="n">
        <v>1183.59</v>
      </c>
      <c r="F129" s="10" t="n">
        <v>1003.06</v>
      </c>
      <c r="G129" s="10" t="n">
        <v>180.53</v>
      </c>
      <c r="H129" s="10" t="inlineStr">
        <is>
          <t>+18.0%</t>
        </is>
      </c>
      <c r="I129" s="15" t="inlineStr">
        <is>
          <t>REVIEW</t>
        </is>
      </c>
    </row>
    <row r="131">
      <c r="A131" s="8" t="inlineStr">
        <is>
          <t>New Piston Kit:   SPOT RW-260721-135500  ·  iQuote #223597  ·  BECAME A JOB</t>
        </is>
      </c>
    </row>
    <row r="132">
      <c r="A132" s="9" t="inlineStr">
        <is>
          <t xml:space="preserve">    Front Tuck w/ Partition</t>
        </is>
      </c>
      <c r="B132" s="9" t="inlineStr">
        <is>
          <t>Gloss print · CAD Cut · Hand Stripped · 422" rule</t>
        </is>
      </c>
      <c r="C132" s="9" t="n">
        <v>250</v>
      </c>
      <c r="D132" s="9" t="n">
        <v>2206.38</v>
      </c>
      <c r="E132" s="9" t="n">
        <v>8.826000000000001</v>
      </c>
      <c r="F132" s="9" t="n">
        <v>1689.98</v>
      </c>
      <c r="G132" s="9" t="n">
        <v>516.4</v>
      </c>
      <c r="H132" s="9" t="inlineStr">
        <is>
          <t>+30.6%</t>
        </is>
      </c>
    </row>
    <row r="133">
      <c r="A133" s="10" t="inlineStr">
        <is>
          <t xml:space="preserve">    TOTAL SELL @ qty 250</t>
        </is>
      </c>
      <c r="D133" s="10" t="n">
        <v>3176.43</v>
      </c>
      <c r="F133" s="10" t="n">
        <v>2749.42</v>
      </c>
      <c r="G133" s="10" t="n">
        <v>427.01</v>
      </c>
      <c r="H133" s="10" t="inlineStr">
        <is>
          <t>+15.5%</t>
        </is>
      </c>
      <c r="I133" s="15" t="inlineStr">
        <is>
          <t>REVIEW</t>
        </is>
      </c>
    </row>
    <row r="135">
      <c r="A135" s="8" t="inlineStr">
        <is>
          <t>Vitamix digital pricing for orders:   SPOT RW-260722-082345  ·  iQuote #223591  ·  BECAME A JOB</t>
        </is>
      </c>
    </row>
    <row r="136">
      <c r="A136" s="9" t="inlineStr">
        <is>
          <t xml:space="preserve">    RSC</t>
        </is>
      </c>
      <c r="B136" s="9" t="inlineStr">
        <is>
          <t>Gloss print · Die Cut (Crest) · Hand Stripped · Glued (1 jt) · 504" rule</t>
        </is>
      </c>
      <c r="C136" s="9" t="n">
        <v>250</v>
      </c>
      <c r="D136" s="9" t="n">
        <v>5110.18</v>
      </c>
      <c r="E136" s="9" t="n">
        <v>20.441</v>
      </c>
      <c r="F136" s="9" t="n">
        <v>4548.46</v>
      </c>
      <c r="G136" s="9" t="n">
        <v>561.72</v>
      </c>
      <c r="H136" s="9" t="inlineStr">
        <is>
          <t>+12.3%</t>
        </is>
      </c>
    </row>
    <row r="137">
      <c r="A137" s="10" t="inlineStr">
        <is>
          <t xml:space="preserve">    TOTAL SELL @ qty 250</t>
        </is>
      </c>
      <c r="D137" s="10" t="n">
        <v>6773.57</v>
      </c>
      <c r="F137" s="10" t="n">
        <v>6549.08</v>
      </c>
      <c r="G137" s="10" t="n">
        <v>224.49</v>
      </c>
      <c r="H137" s="10" t="inlineStr">
        <is>
          <t>+3.4%</t>
        </is>
      </c>
      <c r="I137" s="12" t="inlineStr">
        <is>
          <t>PASS</t>
        </is>
      </c>
      <c r="J137" s="13" t="inlineStr">
        <is>
          <t>Job 236943: invoiced $4,353, actual cost $9,468 → margin -118%</t>
        </is>
      </c>
    </row>
    <row r="139">
      <c r="A139" s="8" t="inlineStr">
        <is>
          <t>Vitamix digital pricing for orders:   SPOT RW-260722-082345  ·  iQuote #223591  ·  BECAME A JOB</t>
        </is>
      </c>
    </row>
    <row r="140">
      <c r="A140" s="9" t="inlineStr">
        <is>
          <t xml:space="preserve">    RSC</t>
        </is>
      </c>
      <c r="B140" s="9" t="inlineStr">
        <is>
          <t>Gloss print · Die Cut (Crest) · Hand Stripped · Glued (1 jt) · 504" rule</t>
        </is>
      </c>
      <c r="C140" s="9" t="n">
        <v>300</v>
      </c>
      <c r="D140" s="9" t="n">
        <v>6063.51</v>
      </c>
      <c r="E140" s="9" t="n">
        <v>20.212</v>
      </c>
      <c r="F140" s="9" t="n">
        <v>5237.31</v>
      </c>
      <c r="G140" s="9" t="n">
        <v>826.2</v>
      </c>
      <c r="H140" s="9" t="inlineStr">
        <is>
          <t>+15.8%</t>
        </is>
      </c>
    </row>
    <row r="141">
      <c r="A141" s="10" t="inlineStr">
        <is>
          <t xml:space="preserve">    TOTAL SELL @ qty 300</t>
        </is>
      </c>
      <c r="D141" s="10" t="n">
        <v>8044.68</v>
      </c>
      <c r="F141" s="10" t="n">
        <v>7577.35</v>
      </c>
      <c r="G141" s="10" t="n">
        <v>467.33</v>
      </c>
      <c r="H141" s="10" t="inlineStr">
        <is>
          <t>+6.2%</t>
        </is>
      </c>
      <c r="I141" s="12" t="inlineStr">
        <is>
          <t>PASS</t>
        </is>
      </c>
    </row>
    <row r="143">
      <c r="A143" s="8" t="inlineStr">
        <is>
          <t>RFQ Scotts 07-09-26:   SPOT RW-260722-085112  ·  iQuote #223596  ·  BECAME A JOB</t>
        </is>
      </c>
    </row>
    <row r="144">
      <c r="A144" s="9" t="inlineStr">
        <is>
          <t xml:space="preserve">    Mini Pallet Band </t>
        </is>
      </c>
      <c r="B144" s="9" t="inlineStr">
        <is>
          <t>Satin print · Die Cut (Crest) · Hand Stripped · 240" rule</t>
        </is>
      </c>
      <c r="C144" s="9" t="n">
        <v>1000</v>
      </c>
      <c r="D144" s="9" t="n">
        <v>3529.3</v>
      </c>
      <c r="E144" s="9" t="n">
        <v>3.529</v>
      </c>
    </row>
    <row r="145">
      <c r="A145" s="9" t="inlineStr">
        <is>
          <t xml:space="preserve">    Mini Pallet Band</t>
        </is>
      </c>
      <c r="B145" s="9" t="inlineStr">
        <is>
          <t>Satin print · Die Cut (Crest) · Hand Stripped · 299" rule</t>
        </is>
      </c>
      <c r="C145" s="9" t="n">
        <v>700</v>
      </c>
      <c r="D145" s="9" t="n">
        <v>2612.82</v>
      </c>
      <c r="E145" s="9" t="n">
        <v>3.733</v>
      </c>
    </row>
    <row r="146">
      <c r="A146" s="10" t="inlineStr">
        <is>
          <t xml:space="preserve">    TOTAL SELL @ qty 700/1000 kit</t>
        </is>
      </c>
      <c r="D146" s="10" t="n">
        <v>8481.110000000001</v>
      </c>
      <c r="F146" s="10" t="n">
        <v>9299.35</v>
      </c>
      <c r="G146" s="10" t="n">
        <v>-818.24</v>
      </c>
      <c r="H146" s="10" t="inlineStr">
        <is>
          <t>-8.8%</t>
        </is>
      </c>
      <c r="I146" s="12" t="inlineStr">
        <is>
          <t>PASS</t>
        </is>
      </c>
    </row>
    <row r="148">
      <c r="A148" s="8" t="inlineStr">
        <is>
          <t>Vitamix Power Prep Mixer digital reorder:   SPOT RW-260722-090416  ·  iQuote #223590  ·  BECAME A JOB</t>
        </is>
      </c>
    </row>
    <row r="149">
      <c r="A149" s="9" t="inlineStr">
        <is>
          <t xml:space="preserve">    RSC</t>
        </is>
      </c>
      <c r="B149" s="9" t="inlineStr">
        <is>
          <t>Gloss print · CAD Cut · Hand Stripped · Glued (1 jt) · 410" rule</t>
        </is>
      </c>
      <c r="C149" s="9" t="n">
        <v>50</v>
      </c>
      <c r="D149" s="9" t="n">
        <v>620.37</v>
      </c>
      <c r="E149" s="9" t="n">
        <v>12.407</v>
      </c>
      <c r="F149" s="9" t="n">
        <v>573.99</v>
      </c>
      <c r="G149" s="9" t="n">
        <v>46.38</v>
      </c>
      <c r="H149" s="9" t="inlineStr">
        <is>
          <t>+8.1%</t>
        </is>
      </c>
    </row>
    <row r="150">
      <c r="A150" s="10" t="inlineStr">
        <is>
          <t xml:space="preserve">    TOTAL SELL @ qty 50</t>
        </is>
      </c>
      <c r="D150" s="10" t="n">
        <v>1120.73</v>
      </c>
      <c r="F150" s="10" t="n">
        <v>724.2</v>
      </c>
      <c r="G150" s="10" t="n">
        <v>396.53</v>
      </c>
      <c r="H150" s="10" t="inlineStr">
        <is>
          <t>+54.8%</t>
        </is>
      </c>
      <c r="I150" s="11" t="inlineStr">
        <is>
          <t>FAIL</t>
        </is>
      </c>
    </row>
    <row r="152">
      <c r="A152" s="8" t="inlineStr">
        <is>
          <t>RW-260722-095152:   SPOT RW-260722-095152  ·  iQuote #223575  ·  BECAME A JOB</t>
        </is>
      </c>
    </row>
    <row r="153">
      <c r="A153" s="9" t="inlineStr">
        <is>
          <t xml:space="preserve">    Display Header</t>
        </is>
      </c>
      <c r="B153" s="9" t="inlineStr">
        <is>
          <t>Satin print · CAD Cut · Hand Stripped · 69" rule</t>
        </is>
      </c>
      <c r="C153" s="9" t="n">
        <v>500</v>
      </c>
      <c r="D153" s="9" t="n">
        <v>716.83</v>
      </c>
      <c r="E153" s="9" t="n">
        <v>1.434</v>
      </c>
      <c r="F153" s="9" t="n">
        <v>633.62</v>
      </c>
      <c r="G153" s="9" t="n">
        <v>83.20999999999999</v>
      </c>
      <c r="H153" s="9" t="inlineStr">
        <is>
          <t>+13.1%</t>
        </is>
      </c>
    </row>
    <row r="154">
      <c r="A154" s="10" t="inlineStr">
        <is>
          <t xml:space="preserve">    TOTAL SELL @ qty 500</t>
        </is>
      </c>
      <c r="D154" s="10" t="n">
        <v>1288.67</v>
      </c>
      <c r="F154" s="10" t="n">
        <v>985.09</v>
      </c>
      <c r="G154" s="10" t="n">
        <v>303.58</v>
      </c>
      <c r="H154" s="10" t="inlineStr">
        <is>
          <t>+30.8%</t>
        </is>
      </c>
      <c r="I154" s="11" t="inlineStr">
        <is>
          <t>FAIL</t>
        </is>
      </c>
    </row>
    <row r="156">
      <c r="A156" s="8" t="inlineStr">
        <is>
          <t>Concept 100 Valentines Day Display:   SPOT RW-260723-084853  ·  iQuote #223791   [OUTLIER — see detailed workbook]</t>
        </is>
      </c>
    </row>
    <row r="157">
      <c r="A157" s="9" t="inlineStr">
        <is>
          <t xml:space="preserve">    Back Panel</t>
        </is>
      </c>
      <c r="B157" s="9" t="inlineStr">
        <is>
          <t>Gloss print · CAD Cut · Hand Stripped · 637" rule</t>
        </is>
      </c>
      <c r="C157" s="9" t="n">
        <v>15</v>
      </c>
      <c r="D157" s="9" t="n">
        <v>497.02</v>
      </c>
      <c r="E157" s="9" t="n">
        <v>33.135</v>
      </c>
      <c r="F157" s="9" t="n">
        <v>521.58</v>
      </c>
      <c r="G157" s="9" t="n">
        <v>-24.56</v>
      </c>
      <c r="H157" s="9" t="inlineStr">
        <is>
          <t>-4.7%</t>
        </is>
      </c>
    </row>
    <row r="158">
      <c r="A158" s="9" t="inlineStr">
        <is>
          <t xml:space="preserve">    Side Panel</t>
        </is>
      </c>
      <c r="B158" s="9" t="inlineStr">
        <is>
          <t>Gloss print · CAD Cut · Hand Stripped · 941" rule</t>
        </is>
      </c>
      <c r="C158" s="9" t="n">
        <v>15</v>
      </c>
      <c r="D158" s="9" t="n">
        <v>443.01</v>
      </c>
      <c r="E158" s="9" t="n">
        <v>29.534</v>
      </c>
      <c r="F158" s="9" t="n">
        <v>440.72</v>
      </c>
      <c r="G158" s="9" t="n">
        <v>2.29</v>
      </c>
      <c r="H158" s="9" t="inlineStr">
        <is>
          <t>+0.5%</t>
        </is>
      </c>
    </row>
    <row r="159">
      <c r="A159" s="9" t="inlineStr">
        <is>
          <t xml:space="preserve">    Angled Side Panel</t>
        </is>
      </c>
      <c r="B159" s="9" t="inlineStr">
        <is>
          <t>Gloss print · CAD Cut · Hand Stripped · 985" rule</t>
        </is>
      </c>
      <c r="C159" s="9" t="n">
        <v>15</v>
      </c>
      <c r="D159" s="9" t="n">
        <v>447.48</v>
      </c>
      <c r="E159" s="9" t="n">
        <v>29.832</v>
      </c>
      <c r="F159" s="9" t="n">
        <v>482.56</v>
      </c>
      <c r="G159" s="9" t="n">
        <v>-35.08</v>
      </c>
      <c r="H159" s="9" t="inlineStr">
        <is>
          <t>-7.3%</t>
        </is>
      </c>
    </row>
    <row r="160">
      <c r="A160" s="9" t="inlineStr">
        <is>
          <t xml:space="preserve">    Heart Middle Side 1</t>
        </is>
      </c>
      <c r="B160" s="9" t="inlineStr">
        <is>
          <t>Gloss print · CAD Cut · Hand Stripped · 491" rule</t>
        </is>
      </c>
      <c r="C160" s="9" t="n">
        <v>15</v>
      </c>
      <c r="D160" s="9" t="n">
        <v>494.09</v>
      </c>
      <c r="E160" s="9" t="n">
        <v>32.939</v>
      </c>
      <c r="F160" s="9" t="n">
        <v>382.29</v>
      </c>
      <c r="G160" s="9" t="n">
        <v>111.8</v>
      </c>
      <c r="H160" s="9" t="inlineStr">
        <is>
          <t>+29.2%</t>
        </is>
      </c>
    </row>
    <row r="161">
      <c r="A161" s="9" t="inlineStr">
        <is>
          <t xml:space="preserve">    Heart Middle Side 2</t>
        </is>
      </c>
      <c r="B161" s="9" t="inlineStr">
        <is>
          <t>Gloss print · CAD Cut · Hand Stripped · 493" rule</t>
        </is>
      </c>
      <c r="C161" s="9" t="n">
        <v>15</v>
      </c>
      <c r="D161" s="9" t="n">
        <v>494.21</v>
      </c>
      <c r="E161" s="9" t="n">
        <v>32.947</v>
      </c>
      <c r="F161" s="9" t="n">
        <v>382.43</v>
      </c>
      <c r="G161" s="9" t="n">
        <v>111.78</v>
      </c>
      <c r="H161" s="9" t="inlineStr">
        <is>
          <t>+29.2%</t>
        </is>
      </c>
    </row>
    <row r="162">
      <c r="A162" s="9" t="inlineStr">
        <is>
          <t xml:space="preserve">    Shelf 1, 4 &amp; Big Heart Lug</t>
        </is>
      </c>
      <c r="B162" s="9" t="inlineStr">
        <is>
          <t>Gloss print · CAD Cut · Hand Stripped · 650" rule</t>
        </is>
      </c>
      <c r="C162" s="9" t="n">
        <v>15</v>
      </c>
      <c r="D162" s="9" t="n">
        <v>511.21</v>
      </c>
      <c r="E162" s="9" t="n">
        <v>34.081</v>
      </c>
      <c r="F162" s="9" t="n">
        <v>398.61</v>
      </c>
      <c r="G162" s="9" t="n">
        <v>112.6</v>
      </c>
      <c r="H162" s="9" t="inlineStr">
        <is>
          <t>+28.2%</t>
        </is>
      </c>
    </row>
    <row r="163">
      <c r="A163" s="9" t="inlineStr">
        <is>
          <t xml:space="preserve">    Shelves 3 &amp; 2</t>
        </is>
      </c>
      <c r="B163" s="9" t="inlineStr">
        <is>
          <t>Gloss print · CAD Cut · Hand Stripped · 500" rule</t>
        </is>
      </c>
      <c r="C163" s="9" t="n">
        <v>15</v>
      </c>
      <c r="D163" s="9" t="n">
        <v>412.25</v>
      </c>
      <c r="E163" s="9" t="n">
        <v>27.483</v>
      </c>
      <c r="F163" s="9" t="n">
        <v>372.16</v>
      </c>
      <c r="G163" s="9" t="n">
        <v>40.09</v>
      </c>
      <c r="H163" s="9" t="inlineStr">
        <is>
          <t>+10.8%</t>
        </is>
      </c>
    </row>
    <row r="164">
      <c r="A164" s="9" t="inlineStr">
        <is>
          <t xml:space="preserve">    Roll Up 1 &amp; 2</t>
        </is>
      </c>
      <c r="B164" s="9" t="inlineStr">
        <is>
          <t>Gloss print · CAD Cut · Hand Stripped · 687" rule</t>
        </is>
      </c>
      <c r="C164" s="9" t="n">
        <v>15</v>
      </c>
      <c r="D164" s="9" t="n">
        <v>424.08</v>
      </c>
      <c r="E164" s="9" t="n">
        <v>28.272</v>
      </c>
      <c r="F164" s="9" t="n">
        <v>435.33</v>
      </c>
      <c r="G164" s="9" t="n">
        <v>-11.25</v>
      </c>
      <c r="H164" s="9" t="inlineStr">
        <is>
          <t>-2.6%</t>
        </is>
      </c>
    </row>
    <row r="165">
      <c r="A165" s="9" t="inlineStr">
        <is>
          <t xml:space="preserve">    Bottom Shelf Eggcrate &amp; 4th Roll Up</t>
        </is>
      </c>
      <c r="B165" s="9" t="inlineStr">
        <is>
          <t>Gloss print · Saber + D/C · Hand Stripped · 750" rule</t>
        </is>
      </c>
      <c r="C165" s="9" t="n">
        <v>15</v>
      </c>
      <c r="D165" s="9" t="n">
        <v>5871.75</v>
      </c>
      <c r="E165" s="9" t="n">
        <v>391.45</v>
      </c>
      <c r="F165" s="9" t="n">
        <v>449.16</v>
      </c>
      <c r="G165" s="9" t="n">
        <v>5422.59</v>
      </c>
      <c r="H165" s="9" t="inlineStr">
        <is>
          <t>+1207.3%</t>
        </is>
      </c>
    </row>
    <row r="166">
      <c r="A166" s="10" t="inlineStr">
        <is>
          <t xml:space="preserve">    TOTAL SELL @ qty 15</t>
        </is>
      </c>
      <c r="D166" s="10" t="n">
        <v>14889.07</v>
      </c>
      <c r="F166" s="10" t="n">
        <v>5653.51</v>
      </c>
      <c r="G166" s="10" t="n">
        <v>9235.559999999999</v>
      </c>
      <c r="H166" s="10" t="inlineStr">
        <is>
          <t>+163.4%</t>
        </is>
      </c>
      <c r="I166" s="11" t="inlineStr">
        <is>
          <t>FAIL</t>
        </is>
      </c>
    </row>
    <row r="168">
      <c r="A168" s="8" t="inlineStr">
        <is>
          <t>Concept 100 Valentines Day Display:   SPOT RW-260723-084853  ·  iQuote #223791   [OUTLIER — see detailed workbook]</t>
        </is>
      </c>
    </row>
    <row r="169">
      <c r="A169" s="9" t="inlineStr">
        <is>
          <t xml:space="preserve">    Back Panel</t>
        </is>
      </c>
      <c r="B169" s="9" t="inlineStr">
        <is>
          <t>Gloss print · CAD Cut · Hand Stripped · 637" rule</t>
        </is>
      </c>
      <c r="C169" s="9" t="n">
        <v>8</v>
      </c>
      <c r="D169" s="9" t="n">
        <v>382.16</v>
      </c>
      <c r="E169" s="9" t="n">
        <v>47.77</v>
      </c>
      <c r="F169" s="9" t="n">
        <v>415.78</v>
      </c>
      <c r="G169" s="9" t="n">
        <v>-33.62</v>
      </c>
      <c r="H169" s="9" t="inlineStr">
        <is>
          <t>-8.1%</t>
        </is>
      </c>
    </row>
    <row r="170">
      <c r="A170" s="9" t="inlineStr">
        <is>
          <t xml:space="preserve">    Side Panel</t>
        </is>
      </c>
      <c r="B170" s="9" t="inlineStr">
        <is>
          <t>Gloss print · CAD Cut · Hand Stripped · 941" rule</t>
        </is>
      </c>
      <c r="C170" s="9" t="n">
        <v>8</v>
      </c>
      <c r="D170" s="9" t="n">
        <v>330.87</v>
      </c>
      <c r="E170" s="9" t="n">
        <v>41.359</v>
      </c>
      <c r="F170" s="9" t="n">
        <v>342.89</v>
      </c>
      <c r="G170" s="9" t="n">
        <v>-12.02</v>
      </c>
      <c r="H170" s="9" t="inlineStr">
        <is>
          <t>-3.5%</t>
        </is>
      </c>
    </row>
    <row r="171">
      <c r="A171" s="9" t="inlineStr">
        <is>
          <t xml:space="preserve">    Angled Side Panel</t>
        </is>
      </c>
      <c r="B171" s="9" t="inlineStr">
        <is>
          <t>Gloss print · CAD Cut · Hand Stripped · 985" rule</t>
        </is>
      </c>
      <c r="C171" s="9" t="n">
        <v>8</v>
      </c>
      <c r="D171" s="9" t="n">
        <v>334.08</v>
      </c>
      <c r="E171" s="9" t="n">
        <v>41.76</v>
      </c>
      <c r="F171" s="9" t="n">
        <v>381.19</v>
      </c>
      <c r="G171" s="9" t="n">
        <v>-47.11</v>
      </c>
      <c r="H171" s="9" t="inlineStr">
        <is>
          <t>-12.4%</t>
        </is>
      </c>
    </row>
    <row r="172">
      <c r="A172" s="9" t="inlineStr">
        <is>
          <t xml:space="preserve">    Heart Middle Side 1</t>
        </is>
      </c>
      <c r="B172" s="9" t="inlineStr">
        <is>
          <t>Gloss print · CAD Cut · Hand Stripped · 491" rule</t>
        </is>
      </c>
      <c r="C172" s="9" t="n">
        <v>8</v>
      </c>
      <c r="D172" s="9" t="n">
        <v>370.16</v>
      </c>
      <c r="E172" s="9" t="n">
        <v>46.27</v>
      </c>
      <c r="F172" s="9" t="n">
        <v>286.26</v>
      </c>
      <c r="G172" s="9" t="n">
        <v>83.90000000000001</v>
      </c>
      <c r="H172" s="9" t="inlineStr">
        <is>
          <t>+29.3%</t>
        </is>
      </c>
    </row>
    <row r="173">
      <c r="A173" s="9" t="inlineStr">
        <is>
          <t xml:space="preserve">    Heart Middle Side 2</t>
        </is>
      </c>
      <c r="B173" s="9" t="inlineStr">
        <is>
          <t>Gloss print · CAD Cut · Hand Stripped · 493" rule</t>
        </is>
      </c>
      <c r="C173" s="9" t="n">
        <v>8</v>
      </c>
      <c r="D173" s="9" t="n">
        <v>370.23</v>
      </c>
      <c r="E173" s="9" t="n">
        <v>46.279</v>
      </c>
      <c r="F173" s="9" t="n">
        <v>286.33</v>
      </c>
      <c r="G173" s="9" t="n">
        <v>83.90000000000001</v>
      </c>
      <c r="H173" s="9" t="inlineStr">
        <is>
          <t>+29.3%</t>
        </is>
      </c>
    </row>
    <row r="174">
      <c r="A174" s="9" t="inlineStr">
        <is>
          <t xml:space="preserve">    Shelf 1, 4 &amp; Big Heart Lug</t>
        </is>
      </c>
      <c r="B174" s="9" t="inlineStr">
        <is>
          <t>Gloss print · CAD Cut · Hand Stripped · 650" rule</t>
        </is>
      </c>
      <c r="C174" s="9" t="n">
        <v>8</v>
      </c>
      <c r="D174" s="9" t="n">
        <v>382.75</v>
      </c>
      <c r="E174" s="9" t="n">
        <v>47.844</v>
      </c>
      <c r="F174" s="9" t="n">
        <v>295.34</v>
      </c>
      <c r="G174" s="9" t="n">
        <v>87.41</v>
      </c>
      <c r="H174" s="9" t="inlineStr">
        <is>
          <t>+29.6%</t>
        </is>
      </c>
    </row>
    <row r="175">
      <c r="A175" s="9" t="inlineStr">
        <is>
          <t xml:space="preserve">    Shelves 3 &amp; 2</t>
        </is>
      </c>
      <c r="B175" s="9" t="inlineStr">
        <is>
          <t>Gloss print · CAD Cut · Hand Stripped · 500" rule</t>
        </is>
      </c>
      <c r="C175" s="9" t="n">
        <v>8</v>
      </c>
      <c r="D175" s="9" t="n">
        <v>312.67</v>
      </c>
      <c r="E175" s="9" t="n">
        <v>39.084</v>
      </c>
      <c r="F175" s="9" t="n">
        <v>321.94</v>
      </c>
      <c r="G175" s="9" t="n">
        <v>-9.27</v>
      </c>
      <c r="H175" s="9" t="inlineStr">
        <is>
          <t>-2.9%</t>
        </is>
      </c>
    </row>
    <row r="176">
      <c r="A176" s="9" t="inlineStr">
        <is>
          <t xml:space="preserve">    Roll Up 1 &amp; 2</t>
        </is>
      </c>
      <c r="B176" s="9" t="inlineStr">
        <is>
          <t>Gloss print · CAD Cut · Hand Stripped · 687" rule</t>
        </is>
      </c>
      <c r="C176" s="9" t="n">
        <v>8</v>
      </c>
      <c r="D176" s="9" t="n">
        <v>319.17</v>
      </c>
      <c r="E176" s="9" t="n">
        <v>39.896</v>
      </c>
      <c r="F176" s="9" t="n">
        <v>355.66</v>
      </c>
      <c r="G176" s="9" t="n">
        <v>-36.49</v>
      </c>
      <c r="H176" s="9" t="inlineStr">
        <is>
          <t>-10.3%</t>
        </is>
      </c>
    </row>
    <row r="177">
      <c r="A177" s="9" t="inlineStr">
        <is>
          <t xml:space="preserve">    Bottom Shelf Eggcrate &amp; 4th Roll Up</t>
        </is>
      </c>
      <c r="B177" s="9" t="inlineStr">
        <is>
          <t>Gloss print · Saber + D/C · Hand Stripped · 750" rule</t>
        </is>
      </c>
      <c r="C177" s="9" t="n">
        <v>8</v>
      </c>
      <c r="D177" s="9" t="n">
        <v>7169.37</v>
      </c>
      <c r="E177" s="9" t="n">
        <v>896.171</v>
      </c>
      <c r="F177" s="9" t="n">
        <v>363.4</v>
      </c>
      <c r="G177" s="9" t="n">
        <v>6805.97</v>
      </c>
      <c r="H177" s="9" t="inlineStr">
        <is>
          <t>+1872.8%</t>
        </is>
      </c>
    </row>
    <row r="178">
      <c r="A178" s="10" t="inlineStr">
        <is>
          <t xml:space="preserve">    TOTAL SELL @ qty 8</t>
        </is>
      </c>
      <c r="D178" s="10" t="n">
        <v>14773.92</v>
      </c>
      <c r="F178" s="10" t="n">
        <v>4461.64</v>
      </c>
      <c r="G178" s="10" t="n">
        <v>10312.28</v>
      </c>
      <c r="H178" s="10" t="inlineStr">
        <is>
          <t>+231.1%</t>
        </is>
      </c>
      <c r="I178" s="11" t="inlineStr">
        <is>
          <t>FAIL</t>
        </is>
      </c>
    </row>
    <row r="180">
      <c r="A180" s="8" t="inlineStr">
        <is>
          <t>0904-219 Center Joint:   SPOT RW-260724-113737  ·  iQuote #223651  ·  BECAME A JOB</t>
        </is>
      </c>
    </row>
    <row r="181">
      <c r="A181" s="9" t="inlineStr">
        <is>
          <t xml:space="preserve">    D/C Joined</t>
        </is>
      </c>
      <c r="B181" s="9" t="inlineStr">
        <is>
          <t>No print · CAD Cut · Hand Stripped · 123" rule</t>
        </is>
      </c>
      <c r="C181" s="9" t="n">
        <v>22</v>
      </c>
      <c r="D181" s="9" t="n">
        <v>66.2</v>
      </c>
      <c r="E181" s="9" t="n">
        <v>3.009</v>
      </c>
      <c r="F181" s="9" t="n">
        <v>118.1</v>
      </c>
      <c r="G181" s="9" t="n">
        <v>-51.9</v>
      </c>
      <c r="H181" s="9" t="inlineStr">
        <is>
          <t>-43.9%</t>
        </is>
      </c>
    </row>
    <row r="182">
      <c r="A182" s="10" t="inlineStr">
        <is>
          <t xml:space="preserve">    TOTAL SELL @ qty 22</t>
        </is>
      </c>
      <c r="D182" s="10" t="n">
        <v>132.39</v>
      </c>
      <c r="F182" s="10" t="n">
        <v>130.54</v>
      </c>
      <c r="G182" s="10" t="n">
        <v>1.85</v>
      </c>
      <c r="H182" s="10" t="inlineStr">
        <is>
          <t>+1.4%</t>
        </is>
      </c>
      <c r="I182" s="12" t="inlineStr">
        <is>
          <t>PASS</t>
        </is>
      </c>
      <c r="J182" s="13" t="inlineStr">
        <is>
          <t>Job 237252: invoiced $142, actual cost $164 → margin -15%</t>
        </is>
      </c>
    </row>
    <row r="184">
      <c r="A184" s="8" t="inlineStr">
        <is>
          <t>0904-219 Center Joint:   SPOT RW-260724-113737  ·  iQuote #223651  ·  BECAME A JOB</t>
        </is>
      </c>
    </row>
    <row r="185">
      <c r="A185" s="9" t="inlineStr">
        <is>
          <t xml:space="preserve">    D/C Joined</t>
        </is>
      </c>
      <c r="B185" s="9" t="inlineStr">
        <is>
          <t>No print · CAD Cut · Hand Stripped · 123" rule</t>
        </is>
      </c>
      <c r="C185" s="9" t="n">
        <v>59</v>
      </c>
      <c r="D185" s="9" t="n">
        <v>97.45</v>
      </c>
      <c r="E185" s="9" t="n">
        <v>1.652</v>
      </c>
      <c r="F185" s="9" t="n">
        <v>140.67</v>
      </c>
      <c r="G185" s="9" t="n">
        <v>-43.22</v>
      </c>
      <c r="H185" s="9" t="inlineStr">
        <is>
          <t>-30.7%</t>
        </is>
      </c>
    </row>
    <row r="186">
      <c r="A186" s="10" t="inlineStr">
        <is>
          <t xml:space="preserve">    TOTAL SELL @ qty 59</t>
        </is>
      </c>
      <c r="D186" s="10" t="n">
        <v>194.89</v>
      </c>
      <c r="F186" s="10" t="n">
        <v>157.17</v>
      </c>
      <c r="G186" s="10" t="n">
        <v>37.72</v>
      </c>
      <c r="H186" s="10" t="inlineStr">
        <is>
          <t>+24.0%</t>
        </is>
      </c>
      <c r="I186" s="11" t="inlineStr">
        <is>
          <t>FAIL</t>
        </is>
      </c>
    </row>
    <row r="188">
      <c r="A188" s="8" t="inlineStr">
        <is>
          <t>Mala Girl 3 Pak PDQ:   SPOT RW-260724-153643  ·  iQuote #223851</t>
        </is>
      </c>
    </row>
    <row r="189">
      <c r="A189" s="9" t="inlineStr">
        <is>
          <t xml:space="preserve">    Tray</t>
        </is>
      </c>
      <c r="B189" s="9" t="inlineStr">
        <is>
          <t>Gloss print · CAD Cut · Hand Stripped · 412" rule</t>
        </is>
      </c>
      <c r="C189" s="9" t="n">
        <v>25</v>
      </c>
      <c r="D189" s="9" t="n">
        <v>588.8</v>
      </c>
      <c r="E189" s="9" t="n">
        <v>23.552</v>
      </c>
      <c r="F189" s="9" t="n">
        <v>504.25</v>
      </c>
      <c r="G189" s="9" t="n">
        <v>84.55</v>
      </c>
      <c r="H189" s="9" t="inlineStr">
        <is>
          <t>+16.8%</t>
        </is>
      </c>
    </row>
    <row r="190">
      <c r="A190" s="9" t="inlineStr">
        <is>
          <t xml:space="preserve">    Platform Dividers Combo</t>
        </is>
      </c>
      <c r="B190" s="9" t="inlineStr">
        <is>
          <t>Satin print · CAD Cut · Hand Stripped · 392" rule</t>
        </is>
      </c>
      <c r="C190" s="9" t="n">
        <v>25</v>
      </c>
      <c r="D190" s="9" t="n">
        <v>512.23</v>
      </c>
      <c r="E190" s="9" t="n">
        <v>20.489</v>
      </c>
      <c r="F190" s="9" t="n">
        <v>358.19</v>
      </c>
      <c r="G190" s="9" t="n">
        <v>154.04</v>
      </c>
      <c r="H190" s="9" t="inlineStr">
        <is>
          <t>+43.0%</t>
        </is>
      </c>
    </row>
    <row r="191">
      <c r="A191" s="10" t="inlineStr">
        <is>
          <t xml:space="preserve">    TOTAL SELL @ qty 25</t>
        </is>
      </c>
      <c r="D191" s="10" t="n">
        <v>1905.9</v>
      </c>
      <c r="F191" s="10" t="n">
        <v>1079.65</v>
      </c>
      <c r="G191" s="10" t="n">
        <v>826.25</v>
      </c>
      <c r="H191" s="10" t="inlineStr">
        <is>
          <t>+76.5%</t>
        </is>
      </c>
      <c r="I191" s="11" t="inlineStr">
        <is>
          <t>FAIL</t>
        </is>
      </c>
    </row>
    <row r="193">
      <c r="A193" s="8" t="inlineStr">
        <is>
          <t>ACE HARDWARE 42 GAL TRASH BIN (REV):   SPOT RW-260727-080830  ·  iQuote #223209  ·  BECAME A JOB</t>
        </is>
      </c>
    </row>
    <row r="194">
      <c r="A194" s="9" t="inlineStr">
        <is>
          <t xml:space="preserve">    RSC</t>
        </is>
      </c>
      <c r="B194" s="9" t="inlineStr">
        <is>
          <t>Satin print · CAD Cut · Hand Stripped · Glued (1 jt)</t>
        </is>
      </c>
      <c r="C194" s="9" t="n">
        <v>1</v>
      </c>
      <c r="D194" s="9" t="n">
        <v>299.32</v>
      </c>
      <c r="E194" s="9" t="n">
        <v>299.32</v>
      </c>
      <c r="F194" s="9" t="n">
        <v>182.68</v>
      </c>
      <c r="G194" s="9" t="n">
        <v>116.64</v>
      </c>
      <c r="H194" s="9" t="inlineStr">
        <is>
          <t>+63.9%</t>
        </is>
      </c>
    </row>
    <row r="195">
      <c r="A195" s="10" t="inlineStr">
        <is>
          <t xml:space="preserve">    TOTAL SELL @ qty 1</t>
        </is>
      </c>
      <c r="D195" s="10" t="n">
        <v>453.63</v>
      </c>
      <c r="F195" s="10" t="n">
        <v>241.9</v>
      </c>
      <c r="G195" s="10" t="n">
        <v>211.73</v>
      </c>
      <c r="H195" s="10" t="inlineStr">
        <is>
          <t>+87.5%</t>
        </is>
      </c>
      <c r="I195" s="11" t="inlineStr">
        <is>
          <t>FAIL</t>
        </is>
      </c>
      <c r="J195" s="16" t="inlineStr">
        <is>
          <t>Job 236355: invoiced $242, actual cost $194 → margin +20%</t>
        </is>
      </c>
    </row>
    <row r="197">
      <c r="A197" s="8" t="inlineStr">
        <is>
          <t>Power Prep Mixer 01.27.2025:   SPOT RW-260727-090826  ·  iQuote #223590  ·  BECAME A JOB</t>
        </is>
      </c>
    </row>
    <row r="198">
      <c r="A198" s="9" t="inlineStr">
        <is>
          <t xml:space="preserve">    RSC</t>
        </is>
      </c>
      <c r="B198" s="9" t="inlineStr">
        <is>
          <t>Gloss print · CAD Cut · Hand Stripped · Glued (1 jt) · 410" rule</t>
        </is>
      </c>
      <c r="C198" s="9" t="n">
        <v>100</v>
      </c>
      <c r="D198" s="9" t="n">
        <v>876.4400000000001</v>
      </c>
      <c r="E198" s="9" t="n">
        <v>8.763999999999999</v>
      </c>
      <c r="F198" s="9" t="n">
        <v>889.29</v>
      </c>
      <c r="G198" s="9" t="n">
        <v>-12.85</v>
      </c>
      <c r="H198" s="9" t="inlineStr">
        <is>
          <t>-1.4%</t>
        </is>
      </c>
    </row>
    <row r="199">
      <c r="A199" s="10" t="inlineStr">
        <is>
          <t xml:space="preserve">    TOTAL SELL @ qty 100</t>
        </is>
      </c>
      <c r="D199" s="10" t="n">
        <v>1361.8</v>
      </c>
      <c r="F199" s="10" t="n">
        <v>1230.77</v>
      </c>
      <c r="G199" s="10" t="n">
        <v>131.03</v>
      </c>
      <c r="H199" s="10" t="inlineStr">
        <is>
          <t>+10.6%</t>
        </is>
      </c>
      <c r="I199" s="15" t="inlineStr">
        <is>
          <t>REVIEW</t>
        </is>
      </c>
    </row>
    <row r="201">
      <c r="A201" s="8" t="inlineStr">
        <is>
          <t>Power Prep Mixer 01.27.2025:   SPOT RW-260727-090826  ·  iQuote #223590  ·  BECAME A JOB</t>
        </is>
      </c>
    </row>
    <row r="202">
      <c r="A202" s="9" t="inlineStr">
        <is>
          <t xml:space="preserve">    RSC</t>
        </is>
      </c>
      <c r="B202" s="9" t="inlineStr">
        <is>
          <t>Gloss print · CAD Cut · Hand Stripped · Glued (1 jt) · 410" rule</t>
        </is>
      </c>
      <c r="C202" s="9" t="n">
        <v>50</v>
      </c>
      <c r="D202" s="9" t="n">
        <v>550.37</v>
      </c>
      <c r="E202" s="9" t="n">
        <v>11.007</v>
      </c>
      <c r="F202" s="9" t="n">
        <v>573.99</v>
      </c>
      <c r="G202" s="9" t="n">
        <v>-23.62</v>
      </c>
      <c r="H202" s="9" t="inlineStr">
        <is>
          <t>-4.1%</t>
        </is>
      </c>
    </row>
    <row r="203">
      <c r="A203" s="10" t="inlineStr">
        <is>
          <t xml:space="preserve">    TOTAL SELL @ qty 50</t>
        </is>
      </c>
      <c r="D203" s="10" t="n">
        <v>1050.73</v>
      </c>
      <c r="F203" s="10" t="n">
        <v>724.2</v>
      </c>
      <c r="G203" s="10" t="n">
        <v>326.53</v>
      </c>
      <c r="H203" s="10" t="inlineStr">
        <is>
          <t>+45.1%</t>
        </is>
      </c>
      <c r="I203" s="11" t="inlineStr">
        <is>
          <t>FAIL</t>
        </is>
      </c>
    </row>
    <row r="205">
      <c r="A205" s="8" t="inlineStr">
        <is>
          <t>Natures Bounty Tray &amp; Graphic Block - J58302:   SPOT RW-260727-093930  ·  iQuote #223538  ·  BECAME A JOB</t>
        </is>
      </c>
    </row>
    <row r="206">
      <c r="A206" s="9" t="inlineStr">
        <is>
          <t xml:space="preserve">    PDQ Tray</t>
        </is>
      </c>
      <c r="B206" s="9" t="inlineStr">
        <is>
          <t>Satin print · CAD Cut · Hand Stripped · 495" rule</t>
        </is>
      </c>
      <c r="C206" s="9" t="n">
        <v>350</v>
      </c>
      <c r="D206" s="9" t="n">
        <v>2646.95</v>
      </c>
      <c r="E206" s="9" t="n">
        <v>7.563</v>
      </c>
      <c r="F206" s="9" t="n">
        <v>3374.38</v>
      </c>
      <c r="G206" s="9" t="n">
        <v>-727.4299999999999</v>
      </c>
      <c r="H206" s="9" t="inlineStr">
        <is>
          <t>-21.6%</t>
        </is>
      </c>
    </row>
    <row r="207">
      <c r="A207" s="9" t="inlineStr">
        <is>
          <t xml:space="preserve">    Graphic Block</t>
        </is>
      </c>
      <c r="B207" s="9" t="inlineStr">
        <is>
          <t>Satin print · CAD Cut · 253" rule</t>
        </is>
      </c>
      <c r="C207" s="9" t="n">
        <v>350</v>
      </c>
      <c r="D207" s="9" t="n">
        <v>1864.58</v>
      </c>
      <c r="E207" s="9" t="n">
        <v>5.327</v>
      </c>
      <c r="F207" s="9" t="n">
        <v>1493.62</v>
      </c>
      <c r="G207" s="9" t="n">
        <v>370.96</v>
      </c>
      <c r="H207" s="9" t="inlineStr">
        <is>
          <t>+24.8%</t>
        </is>
      </c>
    </row>
    <row r="208">
      <c r="A208" s="10" t="inlineStr">
        <is>
          <t xml:space="preserve">    TOTAL SELL @ qty 350</t>
        </is>
      </c>
      <c r="D208" s="10" t="n">
        <v>6591.82</v>
      </c>
      <c r="F208" s="10" t="n">
        <v>6766.74</v>
      </c>
      <c r="G208" s="10" t="n">
        <v>-174.92</v>
      </c>
      <c r="H208" s="10" t="inlineStr">
        <is>
          <t>-2.6%</t>
        </is>
      </c>
      <c r="I208" s="12" t="inlineStr">
        <is>
          <t>PASS</t>
        </is>
      </c>
    </row>
    <row r="210">
      <c r="A210" s="8" t="inlineStr">
        <is>
          <t>Z109871-1 / Mettler-Toledo:   SPOT RW-260727-095102  ·  iQuote #223486  ·  BECAME A JOB</t>
        </is>
      </c>
    </row>
    <row r="211">
      <c r="A211" s="9" t="inlineStr">
        <is>
          <t xml:space="preserve">    D/C Joined</t>
        </is>
      </c>
      <c r="B211" s="9" t="inlineStr">
        <is>
          <t>No print · CAD Cut · Hand Stripped · 196" rule</t>
        </is>
      </c>
      <c r="C211" s="9" t="n">
        <v>50</v>
      </c>
      <c r="D211" s="9" t="n">
        <v>127.81</v>
      </c>
      <c r="E211" s="9" t="n">
        <v>2.556</v>
      </c>
      <c r="F211" s="9" t="n">
        <v>222.66</v>
      </c>
      <c r="G211" s="9" t="n">
        <v>-94.84999999999999</v>
      </c>
      <c r="H211" s="9" t="inlineStr">
        <is>
          <t>-42.6%</t>
        </is>
      </c>
    </row>
    <row r="212">
      <c r="A212" s="10" t="inlineStr">
        <is>
          <t xml:space="preserve">    TOTAL SELL @ qty 50</t>
        </is>
      </c>
      <c r="D212" s="10" t="n">
        <v>255.63</v>
      </c>
      <c r="F212" s="10" t="n">
        <v>248.28</v>
      </c>
      <c r="G212" s="10" t="n">
        <v>7.35</v>
      </c>
      <c r="H212" s="10" t="inlineStr">
        <is>
          <t>+3.0%</t>
        </is>
      </c>
      <c r="I212" s="12" t="inlineStr">
        <is>
          <t>PASS</t>
        </is>
      </c>
      <c r="J212" s="16" t="inlineStr">
        <is>
          <t>Job 236688: invoiced $248, actual cost $207 → margin +17%</t>
        </is>
      </c>
    </row>
    <row r="214">
      <c r="A214" s="8" t="inlineStr">
        <is>
          <t>8FT LED Tubes / 95053687:   SPOT RW-260727-101129  ·  iQuote #223454  ·  BECAME A JOB</t>
        </is>
      </c>
    </row>
    <row r="215">
      <c r="A215" s="9" t="inlineStr">
        <is>
          <t xml:space="preserve">    5PF</t>
        </is>
      </c>
      <c r="B215" s="9" t="inlineStr">
        <is>
          <t>Satin print · Die Cut (Crest) · Hand Stripped · Glued (1 jt) · 914" rule</t>
        </is>
      </c>
      <c r="C215" s="9" t="n">
        <v>220</v>
      </c>
      <c r="D215" s="9" t="n">
        <v>4398.3</v>
      </c>
      <c r="E215" s="9" t="n">
        <v>19.992</v>
      </c>
      <c r="F215" s="9" t="n">
        <v>4386.16</v>
      </c>
      <c r="G215" s="9" t="n">
        <v>12.14</v>
      </c>
      <c r="H215" s="9" t="inlineStr">
        <is>
          <t>+0.3%</t>
        </is>
      </c>
    </row>
    <row r="216">
      <c r="A216" s="10" t="inlineStr">
        <is>
          <t xml:space="preserve">    TOTAL SELL @ qty 220</t>
        </is>
      </c>
      <c r="D216" s="10" t="n">
        <v>5824.4</v>
      </c>
      <c r="F216" s="10" t="n">
        <v>6164.32</v>
      </c>
      <c r="G216" s="10" t="n">
        <v>-339.92</v>
      </c>
      <c r="H216" s="10" t="inlineStr">
        <is>
          <t>-5.5%</t>
        </is>
      </c>
      <c r="I216" s="12" t="inlineStr">
        <is>
          <t>PASS</t>
        </is>
      </c>
      <c r="J216" s="16" t="inlineStr">
        <is>
          <t>Job 236802: invoiced $6,164, actual cost $4,859 → margin +21%</t>
        </is>
      </c>
    </row>
    <row r="218">
      <c r="A218" s="8" t="inlineStr">
        <is>
          <t>Whirlpool Press Sheet:   SPOT RW-260727-102959  ·  iQuote #223393  ·  BECAME A JOB</t>
        </is>
      </c>
    </row>
    <row r="219">
      <c r="A219" s="9" t="inlineStr">
        <is>
          <t xml:space="preserve">    SC24-101</t>
        </is>
      </c>
      <c r="B219" s="9" t="inlineStr">
        <is>
          <t>Satin print · CAD Cut</t>
        </is>
      </c>
      <c r="C219" s="9" t="n">
        <v>230</v>
      </c>
      <c r="D219" s="9" t="n">
        <v>1192.05</v>
      </c>
      <c r="E219" s="9" t="n">
        <v>5.183</v>
      </c>
      <c r="F219" s="9" t="n">
        <v>943.17</v>
      </c>
      <c r="G219" s="9" t="n">
        <v>248.88</v>
      </c>
      <c r="H219" s="9" t="inlineStr">
        <is>
          <t>+26.4%</t>
        </is>
      </c>
    </row>
    <row r="220">
      <c r="A220" s="10" t="inlineStr">
        <is>
          <t xml:space="preserve">    TOTAL SELL @ qty 230</t>
        </is>
      </c>
      <c r="D220" s="10" t="n">
        <v>1753.9</v>
      </c>
      <c r="F220" s="10" t="n">
        <v>1387.27</v>
      </c>
      <c r="G220" s="10" t="n">
        <v>366.63</v>
      </c>
      <c r="H220" s="10" t="inlineStr">
        <is>
          <t>+26.4%</t>
        </is>
      </c>
      <c r="I220" s="11" t="inlineStr">
        <is>
          <t>FAIL</t>
        </is>
      </c>
      <c r="J220" s="13" t="inlineStr">
        <is>
          <t>Job 236550: invoiced $1,387, actual cost $1,631 → margin -18%</t>
        </is>
      </c>
    </row>
    <row r="222">
      <c r="A222" s="8" t="inlineStr">
        <is>
          <t>MPC - Meijer Iams:   SPOT RW-260727-105300  ·  iQuote #223376  ·  BECAME A JOB</t>
        </is>
      </c>
    </row>
    <row r="223">
      <c r="A223" s="9" t="inlineStr">
        <is>
          <t xml:space="preserve">    D26-0126 Header</t>
        </is>
      </c>
      <c r="B223" s="9" t="inlineStr">
        <is>
          <t>Gloss print · CAD Cut · 254" rule</t>
        </is>
      </c>
      <c r="C223" s="9" t="n">
        <v>75</v>
      </c>
      <c r="D223" s="9" t="n">
        <v>937.84</v>
      </c>
      <c r="E223" s="9" t="n">
        <v>12.505</v>
      </c>
      <c r="F223" s="9" t="n">
        <v>766.88</v>
      </c>
      <c r="G223" s="9" t="n">
        <v>170.96</v>
      </c>
      <c r="H223" s="9" t="inlineStr">
        <is>
          <t>+22.3%</t>
        </is>
      </c>
    </row>
    <row r="224">
      <c r="A224" s="9" t="inlineStr">
        <is>
          <t xml:space="preserve">    D26-0131 Graphic Panel</t>
        </is>
      </c>
      <c r="B224" s="9" t="inlineStr">
        <is>
          <t>Satin print · CAD Cut</t>
        </is>
      </c>
      <c r="C224" s="9" t="n">
        <v>150</v>
      </c>
      <c r="D224" s="9" t="n">
        <v>1499.62</v>
      </c>
      <c r="E224" s="9" t="n">
        <v>9.997</v>
      </c>
      <c r="F224" s="9" t="n">
        <v>1303.63</v>
      </c>
      <c r="G224" s="9" t="n">
        <v>195.99</v>
      </c>
      <c r="H224" s="9" t="inlineStr">
        <is>
          <t>+15.0%</t>
        </is>
      </c>
    </row>
    <row r="225">
      <c r="A225" s="10" t="inlineStr">
        <is>
          <t xml:space="preserve">    TOTAL SELL @ qty 75/150 kit</t>
        </is>
      </c>
      <c r="D225" s="10" t="n">
        <v>3798.03</v>
      </c>
      <c r="F225" s="10" t="n">
        <v>3134.12</v>
      </c>
      <c r="G225" s="10" t="n">
        <v>663.91</v>
      </c>
      <c r="H225" s="10" t="inlineStr">
        <is>
          <t>+21.2%</t>
        </is>
      </c>
      <c r="I225" s="11" t="inlineStr">
        <is>
          <t>FAIL</t>
        </is>
      </c>
    </row>
    <row r="227">
      <c r="A227" s="8" t="inlineStr">
        <is>
          <t>ICM Distributing Company Header:   SPOT RW-260727-144121  ·  iQuote #223575  ·  BECAME A JOB</t>
        </is>
      </c>
    </row>
    <row r="228">
      <c r="A228" s="9" t="inlineStr">
        <is>
          <t xml:space="preserve">    Display Header</t>
        </is>
      </c>
      <c r="B228" s="9" t="inlineStr">
        <is>
          <t>Satin print · CAD Cut · 69" rule</t>
        </is>
      </c>
      <c r="C228" s="9" t="n">
        <v>500</v>
      </c>
      <c r="D228" s="9" t="n">
        <v>702.2</v>
      </c>
      <c r="E228" s="9" t="n">
        <v>1.404</v>
      </c>
      <c r="F228" s="9" t="n">
        <v>633.62</v>
      </c>
      <c r="G228" s="9" t="n">
        <v>68.58</v>
      </c>
      <c r="H228" s="9" t="inlineStr">
        <is>
          <t>+10.8%</t>
        </is>
      </c>
    </row>
    <row r="229">
      <c r="A229" s="10" t="inlineStr">
        <is>
          <t xml:space="preserve">    TOTAL SELL @ qty 500</t>
        </is>
      </c>
      <c r="D229" s="10" t="n">
        <v>1259.41</v>
      </c>
      <c r="F229" s="10" t="n">
        <v>985.09</v>
      </c>
      <c r="G229" s="10" t="n">
        <v>274.32</v>
      </c>
      <c r="H229" s="10" t="inlineStr">
        <is>
          <t>+27.8%</t>
        </is>
      </c>
      <c r="I229" s="11" t="inlineStr">
        <is>
          <t>FAIL</t>
        </is>
      </c>
      <c r="J229" s="16" t="inlineStr">
        <is>
          <t>Job 236822: invoiced $985, actual cost $926 → margin +6%</t>
        </is>
      </c>
    </row>
    <row r="231">
      <c r="A231" s="8" t="inlineStr">
        <is>
          <t>L'Oreal C15 LP COS ZUS01644 Inserts:   SPOT RW-260730-115948  ·  iQuote #223880  ·  BECAME A JOB</t>
        </is>
      </c>
    </row>
    <row r="232">
      <c r="A232" s="9" t="inlineStr">
        <is>
          <t xml:space="preserve">    Sheet Scored</t>
        </is>
      </c>
      <c r="B232" s="9" t="inlineStr">
        <is>
          <t>No print · CAD Cut · 19" rule</t>
        </is>
      </c>
      <c r="C232" s="9" t="n">
        <v>22000</v>
      </c>
      <c r="D232" s="9" t="n">
        <v>2205.73</v>
      </c>
      <c r="E232" s="9" t="n">
        <v>0.1</v>
      </c>
      <c r="F232" s="9" t="n">
        <v>1723.89</v>
      </c>
      <c r="G232" s="9" t="n">
        <v>481.84</v>
      </c>
      <c r="H232" s="9" t="inlineStr">
        <is>
          <t>+28.0%</t>
        </is>
      </c>
    </row>
    <row r="233">
      <c r="A233" s="10" t="inlineStr">
        <is>
          <t xml:space="preserve">    TOTAL SELL @ qty 22000</t>
        </is>
      </c>
      <c r="D233" s="10" t="n">
        <v>3416.08</v>
      </c>
      <c r="F233" s="10" t="n">
        <v>2279.73</v>
      </c>
      <c r="G233" s="10" t="n">
        <v>1136.35</v>
      </c>
      <c r="H233" s="10" t="inlineStr">
        <is>
          <t>+49.8%</t>
        </is>
      </c>
      <c r="I233" s="11" t="inlineStr">
        <is>
          <t>FAIL</t>
        </is>
      </c>
    </row>
    <row r="235">
      <c r="A235" s="8" t="inlineStr">
        <is>
          <t>Cento Authentic Italian Header:   SPOT RW-260730-153734  ·  iQuote #223837  ·  BECAME A JOB</t>
        </is>
      </c>
    </row>
    <row r="236">
      <c r="A236" s="9" t="inlineStr">
        <is>
          <t xml:space="preserve">    Display Header</t>
        </is>
      </c>
      <c r="B236" s="9" t="inlineStr">
        <is>
          <t>Gloss print · CAD Cut</t>
        </is>
      </c>
      <c r="C236" s="9" t="n">
        <v>500</v>
      </c>
      <c r="D236" s="9" t="n">
        <v>1066.87</v>
      </c>
      <c r="E236" s="9" t="n">
        <v>2.134</v>
      </c>
      <c r="F236" s="9" t="n">
        <v>875.1799999999999</v>
      </c>
      <c r="G236" s="9" t="n">
        <v>191.68</v>
      </c>
      <c r="H236" s="9" t="inlineStr">
        <is>
          <t>+21.9%</t>
        </is>
      </c>
    </row>
    <row r="237">
      <c r="A237" s="10" t="inlineStr">
        <is>
          <t xml:space="preserve">    TOTAL SELL @ qty 500</t>
        </is>
      </c>
      <c r="D237" s="10" t="n">
        <v>1668.47</v>
      </c>
      <c r="F237" s="10" t="n">
        <v>1221.28</v>
      </c>
      <c r="G237" s="10" t="n">
        <v>447.19</v>
      </c>
      <c r="H237" s="10" t="inlineStr">
        <is>
          <t>+36.6%</t>
        </is>
      </c>
      <c r="I237" s="11" t="inlineStr">
        <is>
          <t>FAIL</t>
        </is>
      </c>
    </row>
    <row r="239">
      <c r="A239" s="8" t="inlineStr">
        <is>
          <t>Case# 00011159 - REVISED - Targeted Pet Treats Shelf Display:   SPOT RW-260730-154720  ·  iQuote #223784  ·  BECAME A JOB</t>
        </is>
      </c>
    </row>
    <row r="240">
      <c r="A240" s="9" t="inlineStr">
        <is>
          <t xml:space="preserve">    Shelf Display Box — Blue (MRO42966 RevA)</t>
        </is>
      </c>
      <c r="B240" s="9" t="inlineStr">
        <is>
          <t>Gloss print · CAD Cut · Glued (1 jt) · 318" rule</t>
        </is>
      </c>
      <c r="C240" s="9" t="n">
        <v>1</v>
      </c>
      <c r="D240" s="9" t="n">
        <v>275.89</v>
      </c>
      <c r="E240" s="9" t="n">
        <v>275.89</v>
      </c>
      <c r="F240" s="9" t="n">
        <v>147.22</v>
      </c>
      <c r="G240" s="9" t="n">
        <v>128.67</v>
      </c>
      <c r="H240" s="9" t="inlineStr">
        <is>
          <t>+87.4%</t>
        </is>
      </c>
    </row>
    <row r="241">
      <c r="A241" s="9" t="inlineStr">
        <is>
          <t xml:space="preserve">    Shelf Display Box — Peach (MRO42966 RevA)</t>
        </is>
      </c>
      <c r="B241" s="9" t="inlineStr">
        <is>
          <t>Gloss print · CAD Cut · Glued (1 jt) · 318" rule</t>
        </is>
      </c>
      <c r="C241" s="9" t="n">
        <v>1</v>
      </c>
      <c r="D241" s="9" t="n">
        <v>275.89</v>
      </c>
      <c r="E241" s="9" t="n">
        <v>275.89</v>
      </c>
      <c r="F241" s="9" t="n">
        <v>147.22</v>
      </c>
      <c r="G241" s="9" t="n">
        <v>128.67</v>
      </c>
      <c r="H241" s="9" t="inlineStr">
        <is>
          <t>+87.4%</t>
        </is>
      </c>
    </row>
    <row r="242">
      <c r="A242" s="9" t="inlineStr">
        <is>
          <t xml:space="preserve">    Shelf Display Box — Yellow (MRO42966 RevA)</t>
        </is>
      </c>
      <c r="B242" s="9" t="inlineStr">
        <is>
          <t>Satin print · CAD Cut · Glued (1 jt) · 318" rule</t>
        </is>
      </c>
      <c r="C242" s="9" t="n">
        <v>1</v>
      </c>
      <c r="D242" s="9" t="n">
        <v>283.79</v>
      </c>
      <c r="E242" s="9" t="n">
        <v>283.79</v>
      </c>
      <c r="F242" s="9" t="n">
        <v>209.96</v>
      </c>
      <c r="G242" s="9" t="n">
        <v>73.83</v>
      </c>
      <c r="H242" s="9" t="inlineStr">
        <is>
          <t>+35.2%</t>
        </is>
      </c>
    </row>
    <row r="243">
      <c r="A243" s="10" t="inlineStr">
        <is>
          <t xml:space="preserve">    TOTAL SELL @ qty 1</t>
        </is>
      </c>
      <c r="D243" s="10" t="n">
        <v>1331.14</v>
      </c>
      <c r="F243" s="10" t="n">
        <v>906.92</v>
      </c>
      <c r="G243" s="10" t="n">
        <v>424.22</v>
      </c>
      <c r="H243" s="10" t="inlineStr">
        <is>
          <t>+46.8%</t>
        </is>
      </c>
      <c r="I243" s="11" t="inlineStr">
        <is>
          <t>FAIL</t>
        </is>
      </c>
    </row>
    <row r="245">
      <c r="A245" s="8" t="inlineStr">
        <is>
          <t>New Piston Kit:   SPOT RW-260730-155412  ·  iQuote #223597  ·  BECAME A JOB</t>
        </is>
      </c>
    </row>
    <row r="246">
      <c r="A246" s="9" t="inlineStr">
        <is>
          <t xml:space="preserve">    Front Tuck w/ Partition</t>
        </is>
      </c>
      <c r="B246" s="9" t="inlineStr">
        <is>
          <t>Gloss print · CAD Cut · 422" rule</t>
        </is>
      </c>
      <c r="C246" s="9" t="n">
        <v>250</v>
      </c>
      <c r="D246" s="9" t="n">
        <v>2134.98</v>
      </c>
      <c r="E246" s="9" t="n">
        <v>8.539999999999999</v>
      </c>
      <c r="F246" s="9" t="n">
        <v>1689.98</v>
      </c>
      <c r="G246" s="9" t="n">
        <v>445</v>
      </c>
      <c r="H246" s="9" t="inlineStr">
        <is>
          <t>+26.3%</t>
        </is>
      </c>
    </row>
    <row r="247">
      <c r="A247" s="10" t="inlineStr">
        <is>
          <t xml:space="preserve">    TOTAL SELL @ qty 250</t>
        </is>
      </c>
      <c r="D247" s="10" t="n">
        <v>3071.43</v>
      </c>
      <c r="F247" s="10" t="n">
        <v>2749.42</v>
      </c>
      <c r="G247" s="10" t="n">
        <v>322.01</v>
      </c>
      <c r="H247" s="10" t="inlineStr">
        <is>
          <t>+11.7%</t>
        </is>
      </c>
      <c r="I247" s="15" t="inlineStr">
        <is>
          <t>REVIEW</t>
        </is>
      </c>
      <c r="J247" s="16" t="inlineStr">
        <is>
          <t>Job 236869: invoiced $2,876, actual cost $2,580 → margin +10%</t>
        </is>
      </c>
    </row>
  </sheetData>
  <mergeCells count="50">
    <mergeCell ref="A85:J85"/>
    <mergeCell ref="A5:J5"/>
    <mergeCell ref="A23:J23"/>
    <mergeCell ref="A135:J135"/>
    <mergeCell ref="A188:J188"/>
    <mergeCell ref="A131:J131"/>
    <mergeCell ref="A184:J184"/>
    <mergeCell ref="A231:J231"/>
    <mergeCell ref="A29:J29"/>
    <mergeCell ref="A180:J180"/>
    <mergeCell ref="A210:J210"/>
    <mergeCell ref="A156:J156"/>
    <mergeCell ref="A52:J52"/>
    <mergeCell ref="A19:J19"/>
    <mergeCell ref="A152:J152"/>
    <mergeCell ref="A44:J44"/>
    <mergeCell ref="A127:J127"/>
    <mergeCell ref="A143:J143"/>
    <mergeCell ref="A245:J245"/>
    <mergeCell ref="A39:J39"/>
    <mergeCell ref="A34:J34"/>
    <mergeCell ref="A15:J15"/>
    <mergeCell ref="A148:J148"/>
    <mergeCell ref="A48:J48"/>
    <mergeCell ref="A201:J201"/>
    <mergeCell ref="A222:J222"/>
    <mergeCell ref="A60:J60"/>
    <mergeCell ref="A98:J98"/>
    <mergeCell ref="A11:J11"/>
    <mergeCell ref="A94:J94"/>
    <mergeCell ref="A103:J103"/>
    <mergeCell ref="A79:J79"/>
    <mergeCell ref="A123:J123"/>
    <mergeCell ref="A168:J168"/>
    <mergeCell ref="A197:J197"/>
    <mergeCell ref="A70:J70"/>
    <mergeCell ref="A227:J227"/>
    <mergeCell ref="A218:J218"/>
    <mergeCell ref="A205:J205"/>
    <mergeCell ref="A108:J108"/>
    <mergeCell ref="A193:J193"/>
    <mergeCell ref="A118:J118"/>
    <mergeCell ref="A89:J89"/>
    <mergeCell ref="A214:J214"/>
    <mergeCell ref="A56:J56"/>
    <mergeCell ref="A139:J139"/>
    <mergeCell ref="A239:J239"/>
    <mergeCell ref="A113:J113"/>
    <mergeCell ref="A2:J2"/>
    <mergeCell ref="A235:J2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3" customWidth="1" min="3" max="3"/>
    <col width="12" customWidth="1" min="4" max="4"/>
  </cols>
  <sheetData>
    <row r="1">
      <c r="A1" s="1" t="inlineStr">
        <is>
          <t>Price Comparison — 9 produced jobs</t>
        </is>
      </c>
    </row>
    <row r="3">
      <c r="A3" s="17" t="inlineStr">
        <is>
          <t>MIS Job</t>
        </is>
      </c>
      <c r="B3" s="17" t="inlineStr">
        <is>
          <t>Actual Invoice $</t>
        </is>
      </c>
      <c r="C3" s="17" t="inlineStr">
        <is>
          <t>iQuote Sell $</t>
        </is>
      </c>
      <c r="D3" s="17" t="inlineStr">
        <is>
          <t>SPOT Sell $</t>
        </is>
      </c>
    </row>
    <row r="4">
      <c r="A4" t="inlineStr">
        <is>
          <t>236341</t>
        </is>
      </c>
      <c r="B4" t="n">
        <v>1733</v>
      </c>
      <c r="C4" t="n">
        <v>1733</v>
      </c>
      <c r="D4" t="n">
        <v>1753</v>
      </c>
    </row>
    <row r="5">
      <c r="A5" t="inlineStr">
        <is>
          <t>236355</t>
        </is>
      </c>
      <c r="B5" t="n">
        <v>242</v>
      </c>
      <c r="C5" t="n">
        <v>242</v>
      </c>
      <c r="D5" t="n">
        <v>454</v>
      </c>
    </row>
    <row r="6">
      <c r="A6" t="inlineStr">
        <is>
          <t>236550</t>
        </is>
      </c>
      <c r="B6" t="n">
        <v>1387</v>
      </c>
      <c r="C6" t="n">
        <v>1387</v>
      </c>
      <c r="D6" t="n">
        <v>1754</v>
      </c>
    </row>
    <row r="7">
      <c r="A7" t="inlineStr">
        <is>
          <t>236688</t>
        </is>
      </c>
      <c r="B7" t="n">
        <v>248</v>
      </c>
      <c r="C7" t="n">
        <v>248</v>
      </c>
      <c r="D7" t="n">
        <v>256</v>
      </c>
    </row>
    <row r="8">
      <c r="A8" t="inlineStr">
        <is>
          <t>236802</t>
        </is>
      </c>
      <c r="B8" t="n">
        <v>6164</v>
      </c>
      <c r="C8" t="n">
        <v>6164</v>
      </c>
      <c r="D8" t="n">
        <v>5824</v>
      </c>
    </row>
    <row r="9">
      <c r="A9" t="inlineStr">
        <is>
          <t>236822</t>
        </is>
      </c>
      <c r="B9" t="n">
        <v>985</v>
      </c>
      <c r="C9" t="n">
        <v>985</v>
      </c>
      <c r="D9" t="n">
        <v>1259</v>
      </c>
    </row>
    <row r="10">
      <c r="A10" t="inlineStr">
        <is>
          <t>236943</t>
        </is>
      </c>
      <c r="B10" t="n">
        <v>4353</v>
      </c>
      <c r="C10" t="n">
        <v>3695</v>
      </c>
      <c r="D10" t="n">
        <v>6774</v>
      </c>
    </row>
    <row r="11">
      <c r="A11" t="inlineStr">
        <is>
          <t>236869</t>
        </is>
      </c>
      <c r="B11" t="n">
        <v>2876</v>
      </c>
      <c r="C11" t="n">
        <v>2749</v>
      </c>
      <c r="D11" t="n">
        <v>3071</v>
      </c>
    </row>
    <row r="12">
      <c r="A12" t="inlineStr">
        <is>
          <t>237252</t>
        </is>
      </c>
      <c r="B12" t="n">
        <v>142</v>
      </c>
      <c r="C12" t="n">
        <v>131</v>
      </c>
      <c r="D12" t="n">
        <v>132</v>
      </c>
    </row>
    <row r="15">
      <c r="A15" s="17" t="inlineStr">
        <is>
          <t>Category</t>
        </is>
      </c>
      <c r="B15" s="17" t="inlineStr">
        <is>
          <t>Actual $</t>
        </is>
      </c>
      <c r="C15" s="17" t="inlineStr">
        <is>
          <t>SPOT est $</t>
        </is>
      </c>
      <c r="D15" s="17" t="inlineStr">
        <is>
          <t>iQuote est $</t>
        </is>
      </c>
    </row>
    <row r="16">
      <c r="A16" t="inlineStr">
        <is>
          <t>Material</t>
        </is>
      </c>
      <c r="B16" t="n">
        <v>2690</v>
      </c>
      <c r="C16" t="n">
        <v>2972</v>
      </c>
      <c r="D16" t="n">
        <v>2962</v>
      </c>
    </row>
    <row r="17">
      <c r="A17" t="inlineStr">
        <is>
          <t>Print</t>
        </is>
      </c>
      <c r="B17" t="n">
        <v>4541</v>
      </c>
      <c r="C17" t="n">
        <v>3916</v>
      </c>
      <c r="D17" t="n">
        <v>2310</v>
      </c>
    </row>
    <row r="18">
      <c r="A18" t="inlineStr">
        <is>
          <t>Cutting</t>
        </is>
      </c>
      <c r="B18" t="n">
        <v>3108</v>
      </c>
      <c r="C18" t="n">
        <v>1966</v>
      </c>
      <c r="D18" t="n">
        <v>1825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2026-07-31T16:52:39Z</dcterms:created>
  <dcterms:modified xmlns:dcterms="http://purl.org/dc/terms/" xmlns:xsi="http://www.w3.org/2001/XMLSchema-instance" xsi:type="dcterms:W3CDTF">2026-07-31T16:52:39Z</dcterms:modified>
</cp:coreProperties>
</file>