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sz val="9"/>
    </font>
    <font>
      <b val="1"/>
      <color rgb="001F3864"/>
      <sz val="11"/>
    </font>
    <font>
      <sz val="10"/>
    </font>
    <font>
      <b val="1"/>
      <sz val="10"/>
    </font>
    <font>
      <b val="1"/>
      <color rgb="00FFFFFF"/>
      <sz val="10"/>
    </font>
    <font>
      <b val="1"/>
      <color rgb="001F3864"/>
      <sz val="10"/>
    </font>
    <font>
      <sz val="9"/>
    </font>
    <font>
      <b val="1"/>
      <sz val="9"/>
    </font>
    <font>
      <b val="1"/>
      <color rgb="009C0006"/>
      <sz val="9"/>
    </font>
    <font>
      <i val="1"/>
      <color rgb="00777777"/>
      <sz val="8"/>
    </font>
    <font>
      <b val="1"/>
      <color rgb="002E7D32"/>
      <sz val="9"/>
    </font>
    <font>
      <b val="1"/>
      <color rgb="001F386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FF5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6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'Charts'!$A$4:$A$12</f>
            </numRef>
          </cat>
          <val>
            <numRef>
              <f>'Charts'!$B$4:$B$12</f>
            </numRef>
          </val>
        </ser>
        <ser>
          <idx val="1"/>
          <order val="1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'Charts'!$A$4:$A$12</f>
            </numRef>
          </cat>
          <val>
            <numRef>
              <f>'Charts'!$C$4:$C$12</f>
            </numRef>
          </val>
        </ser>
        <ser>
          <idx val="2"/>
          <order val="2"/>
          <tx>
            <strRef>
              <f>'Charts'!D3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'Charts'!$A$4:$A$12</f>
            </numRef>
          </cat>
          <val>
            <numRef>
              <f>'Charts'!$D$4:$D$12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 (8 jobs, excl blowout)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'Charts'!$A$16:$A$18</f>
            </numRef>
          </cat>
          <val>
            <numRef>
              <f>'Charts'!$B$16:$B$18</f>
            </numRef>
          </val>
        </ser>
        <ser>
          <idx val="1"/>
          <order val="1"/>
          <tx>
            <strRef>
              <f>'Charts'!C15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'Charts'!$A$16:$A$18</f>
            </numRef>
          </cat>
          <val>
            <numRef>
              <f>'Charts'!$C$16:$C$18</f>
            </numRef>
          </val>
        </ser>
        <ser>
          <idx val="2"/>
          <order val="2"/>
          <tx>
            <strRef>
              <f>'Charts'!D15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'Charts'!$A$16:$A$18</f>
            </numRef>
          </cat>
          <val>
            <numRef>
              <f>'Charts'!$D$16:$D$18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</cols>
  <sheetData>
    <row r="1">
      <c r="A1" s="1" t="inlineStr">
        <is>
          <t>SPOT Launch Readiness — Executive Summary</t>
        </is>
      </c>
    </row>
    <row r="2" ht="30" customHeight="1">
      <c r="A2" s="2" t="inlineStr">
        <is>
          <t>SPOT (new estimator) vs iQuote (current) on 38 real quotes, validated against actual production costs on 9 produced jobs. Verdicts use legacy parity thresholds: PASS ≤±10%, REVIEW ≤±20%, FAIL &gt;±20%.</t>
        </is>
      </c>
    </row>
    <row r="4">
      <c r="A4" s="3" t="inlineStr">
        <is>
          <t>HEADLINE</t>
        </is>
      </c>
      <c r="B4" s="4" t="inlineStr"/>
    </row>
    <row r="5">
      <c r="A5" s="4" t="inlineStr">
        <is>
          <t>Comparable pricing scenarios analyzed</t>
        </is>
      </c>
      <c r="B5" s="4" t="inlineStr">
        <is>
          <t>49 (3 outliers isolated)</t>
        </is>
      </c>
    </row>
    <row r="6">
      <c r="A6" s="4" t="inlineStr">
        <is>
          <t>SPOT prices vs iQuote (median)</t>
        </is>
      </c>
      <c r="B6" s="4" t="inlineStr">
        <is>
          <t>+13.2%</t>
        </is>
      </c>
    </row>
    <row r="7">
      <c r="A7" s="4" t="inlineStr">
        <is>
          <t>Scenarios within ±10% / ±20%</t>
        </is>
      </c>
      <c r="B7" s="4" t="inlineStr">
        <is>
          <t>14 / 26 of 46</t>
        </is>
      </c>
    </row>
    <row r="8">
      <c r="A8" s="4" t="inlineStr"/>
      <c r="B8" s="4" t="inlineStr"/>
    </row>
    <row r="9">
      <c r="A9" s="3" t="inlineStr">
        <is>
          <t>GROUND TRUTH — 9 PRODUCED JOBS</t>
        </is>
      </c>
      <c r="B9" s="4" t="inlineStr"/>
    </row>
    <row r="10">
      <c r="A10" s="4" t="inlineStr">
        <is>
          <t>Invoiced vs actual cost</t>
        </is>
      </c>
      <c r="B10" s="4" t="inlineStr">
        <is>
          <t>$18,131 invoiced / $22,305 cost = -23% margin</t>
        </is>
      </c>
    </row>
    <row r="11">
      <c r="A11" s="4" t="inlineStr">
        <is>
          <t>Jobs that lost money as invoiced</t>
        </is>
      </c>
      <c r="B11" s="4" t="inlineStr">
        <is>
          <t>5 of 9</t>
        </is>
      </c>
    </row>
    <row r="12">
      <c r="A12" s="4" t="inlineStr">
        <is>
          <t>Same work at SPOT prices</t>
        </is>
      </c>
      <c r="B12" s="4" t="inlineStr">
        <is>
          <t>$21,277 = -5% (near break-even)</t>
        </is>
      </c>
    </row>
    <row r="13">
      <c r="A13" s="4" t="inlineStr"/>
      <c r="B13" s="4" t="inlineStr"/>
    </row>
    <row r="14">
      <c r="A14" s="4" t="inlineStr">
        <is>
          <t>ACCURACY vs ACTUAL COST (per category)</t>
        </is>
      </c>
      <c r="B14" s="4" t="inlineStr"/>
    </row>
    <row r="15">
      <c r="A15" s="4" t="inlineStr">
        <is>
          <t>Material</t>
        </is>
      </c>
      <c r="B15" s="4" t="inlineStr">
        <is>
          <t>SPOT within ±10% — well calibrated</t>
        </is>
      </c>
    </row>
    <row r="16">
      <c r="A16" s="4" t="inlineStr">
        <is>
          <t>Print</t>
        </is>
      </c>
      <c r="B16" s="4" t="inlineStr">
        <is>
          <t>SPOT -14% vs iQuote -49% — iQuote badly under-costs print</t>
        </is>
      </c>
    </row>
    <row r="17">
      <c r="A17" s="4" t="inlineStr">
        <is>
          <t>Cutting</t>
        </is>
      </c>
      <c r="B17" s="4" t="inlineStr">
        <is>
          <t>Both under: SPOT -32%, iQuote -41%. Root cause found (see Cutting tab): assumed cut speed 650 in/min vs ~165 real. Calibration fix identified, BOOKMARKED pending leadership review</t>
        </is>
      </c>
    </row>
    <row r="18">
      <c r="A18" s="4" t="inlineStr">
        <is>
          <t>Freight</t>
        </is>
      </c>
      <c r="B18" s="4" t="inlineStr">
        <is>
          <t>Within ±7%</t>
        </is>
      </c>
    </row>
    <row r="19">
      <c r="A19" s="4" t="inlineStr"/>
      <c r="B19" s="4" t="inlineStr"/>
    </row>
    <row r="20">
      <c r="A20" s="3" t="inlineStr">
        <is>
          <t>KEY TAKEAWAYS</t>
        </is>
      </c>
      <c r="B20" s="4" t="inlineStr"/>
    </row>
    <row r="21" ht="28" customHeight="1">
      <c r="A21" s="5" t="inlineStr">
        <is>
          <t>1.</t>
        </is>
      </c>
      <c r="B21" s="4" t="inlineStr">
        <is>
          <t>iQuote has been winning work below cost. SPOT's ~13% higher pricing is largely justified by real production costs, not over-estimation.</t>
        </is>
      </c>
    </row>
    <row r="22" ht="28" customHeight="1">
      <c r="A22" s="5" t="inlineStr">
        <is>
          <t>2.</t>
        </is>
      </c>
      <c r="B22" s="4" t="inlineStr">
        <is>
          <t>SPOT is closer to actual cost than iQuote in every measurable category on produced jobs.</t>
        </is>
      </c>
    </row>
    <row r="23" ht="28" customHeight="1">
      <c r="A23" s="5" t="inlineStr">
        <is>
          <t>3.</t>
        </is>
      </c>
      <c r="B23" s="4" t="inlineStr">
        <is>
          <t>Cutting throughput is the one systematic gap — in BOTH systems. Fix is two admin-console values in SPOT (no code); recommendation bookmarked.</t>
        </is>
      </c>
    </row>
    <row r="24" ht="28" customHeight="1">
      <c r="A24" s="5" t="inlineStr">
        <is>
          <t>4.</t>
        </is>
      </c>
      <c r="B24" s="4" t="inlineStr">
        <is>
          <t>Small quantities (≤50) carry a heavy SPOT premium (+45-88%) — review minimums policy; may be pricing truth, may cost wins.</t>
        </is>
      </c>
    </row>
    <row r="25" ht="28" customHeight="1">
      <c r="A25" s="5" t="inlineStr">
        <is>
          <t>5.</t>
        </is>
      </c>
      <c r="B25" s="4" t="inlineStr">
        <is>
          <t>Two items need investigation before full trust: eggcrate component anomaly (RW-260723-084853, ~18x iQuote) and one kit modeling mismatch (iQ 223583, won at ~2x SPOT).</t>
        </is>
      </c>
    </row>
  </sheetData>
  <mergeCells count="6">
    <mergeCell ref="B23:E23"/>
    <mergeCell ref="A2:B2"/>
    <mergeCell ref="B21:E21"/>
    <mergeCell ref="B25:E25"/>
    <mergeCell ref="B24:E2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8" customWidth="1" min="3" max="3"/>
    <col width="11" customWidth="1" min="4" max="4"/>
    <col width="10" customWidth="1" min="5" max="5"/>
    <col width="11" customWidth="1" min="6" max="6"/>
    <col width="11" customWidth="1" min="7" max="7"/>
    <col width="8" customWidth="1" min="8" max="8"/>
    <col width="9" customWidth="1" min="9" max="9"/>
    <col width="30" customWidth="1" min="10" max="10"/>
  </cols>
  <sheetData>
    <row r="1">
      <c r="A1" s="1" t="inlineStr">
        <is>
          <t>Quote-by-Quote: SPOT vs iQuote vs Actual</t>
        </is>
      </c>
    </row>
    <row r="2">
      <c r="A2" s="6" t="inlineStr">
        <is>
          <t>Grouped by SPOT project. Component specs from the estimate; iQuote price and actuals compared at quote/quantity level. Δ% = SPOT vs iQuote (+ = SPOT higher).</t>
        </is>
      </c>
    </row>
    <row r="4">
      <c r="A4" s="7" t="inlineStr">
        <is>
          <t>Project / Component</t>
        </is>
      </c>
      <c r="B4" s="7" t="inlineStr">
        <is>
          <t>Specs</t>
        </is>
      </c>
      <c r="C4" s="7" t="inlineStr">
        <is>
          <t>Qty</t>
        </is>
      </c>
      <c r="D4" s="7" t="inlineStr">
        <is>
          <t>SPOT $</t>
        </is>
      </c>
      <c r="E4" s="7" t="inlineStr">
        <is>
          <t>SPOT $/ea</t>
        </is>
      </c>
      <c r="F4" s="7" t="inlineStr">
        <is>
          <t>iQuote $</t>
        </is>
      </c>
      <c r="G4" s="7" t="inlineStr">
        <is>
          <t>Δ $</t>
        </is>
      </c>
      <c r="H4" s="7" t="inlineStr">
        <is>
          <t>Δ %</t>
        </is>
      </c>
      <c r="I4" s="7" t="inlineStr">
        <is>
          <t>Verdict</t>
        </is>
      </c>
      <c r="J4" s="7" t="inlineStr">
        <is>
          <t>Actual (produced jobs)</t>
        </is>
      </c>
    </row>
    <row r="5">
      <c r="A5" s="8" t="inlineStr">
        <is>
          <t>Strat Pro Buttermelt PDQ - 2nd Grouping   —   SPOT RW-260622-133707  ·  iQuote #222085</t>
        </is>
      </c>
    </row>
    <row r="6">
      <c r="A6" s="9" t="inlineStr">
        <is>
          <t xml:space="preserve">    D/C Tray - Digital Print</t>
        </is>
      </c>
      <c r="B6" s="9" t="inlineStr">
        <is>
          <t>Satin print · CAD Cut · Hand Stripped · 498" rule</t>
        </is>
      </c>
      <c r="C6" s="9" t="n">
        <v>515</v>
      </c>
      <c r="D6" s="9" t="n">
        <v>2928.76</v>
      </c>
      <c r="E6" s="9" t="n">
        <v>5.687</v>
      </c>
    </row>
    <row r="7">
      <c r="A7" s="9" t="inlineStr">
        <is>
          <t xml:space="preserve">    RSC Shipper - Direct Print 1C, Glued</t>
        </is>
      </c>
      <c r="B7" s="9" t="inlineStr">
        <is>
          <t>Satin print · CAD Cut · Glued (1 jt) · 214" rule</t>
        </is>
      </c>
      <c r="C7" s="9" t="n">
        <v>515</v>
      </c>
      <c r="D7" s="9" t="n">
        <v>2287.59</v>
      </c>
      <c r="E7" s="9" t="n">
        <v>4.442</v>
      </c>
    </row>
    <row r="8">
      <c r="A8" s="9" t="inlineStr">
        <is>
          <t xml:space="preserve">    Filler - Plain, Scored</t>
        </is>
      </c>
      <c r="B8" s="9" t="inlineStr">
        <is>
          <t>No print · CAD Cut · 70" rule</t>
        </is>
      </c>
      <c r="C8" s="9" t="n">
        <v>515</v>
      </c>
      <c r="D8" s="9" t="n">
        <v>547.47</v>
      </c>
      <c r="E8" s="9" t="n">
        <v>1.063</v>
      </c>
    </row>
    <row r="9">
      <c r="A9" s="10" t="inlineStr">
        <is>
          <t xml:space="preserve">    TOTAL @ qty 515</t>
        </is>
      </c>
      <c r="D9" s="10" t="n">
        <v>5763.82</v>
      </c>
      <c r="F9" s="10" t="n">
        <v>8118.47</v>
      </c>
      <c r="G9" s="10" t="n">
        <v>-2354.65</v>
      </c>
      <c r="H9" s="10" t="inlineStr">
        <is>
          <t>-29.0%</t>
        </is>
      </c>
      <c r="I9" s="11" t="inlineStr">
        <is>
          <t>FAIL</t>
        </is>
      </c>
    </row>
    <row r="11">
      <c r="A11" s="8" t="inlineStr">
        <is>
          <t>PO 47928 / MTD 645-90566A   —   SPOT RW-260623-091031  ·  iQuote #223207  ·  BECAME A JOB</t>
        </is>
      </c>
    </row>
    <row r="12">
      <c r="A12" s="9" t="inlineStr">
        <is>
          <t xml:space="preserve">    D/C Non-Joined</t>
        </is>
      </c>
      <c r="B12" s="9" t="inlineStr">
        <is>
          <t>Satin print · CAD Cut · Hand Stripped · 418" rule</t>
        </is>
      </c>
      <c r="C12" s="9" t="n">
        <v>210</v>
      </c>
      <c r="D12" s="9" t="n">
        <v>1752.51</v>
      </c>
      <c r="E12" s="9" t="n">
        <v>8.345000000000001</v>
      </c>
    </row>
    <row r="13">
      <c r="A13" s="10" t="inlineStr">
        <is>
          <t xml:space="preserve">    TOTAL @ qty 210</t>
        </is>
      </c>
      <c r="D13" s="10" t="n">
        <v>1752.51</v>
      </c>
      <c r="F13" s="10" t="n">
        <v>1826.19</v>
      </c>
      <c r="G13" s="10" t="n">
        <v>-73.68000000000001</v>
      </c>
      <c r="H13" s="10" t="inlineStr">
        <is>
          <t>-4.0%</t>
        </is>
      </c>
      <c r="I13" s="12" t="inlineStr">
        <is>
          <t>PASS</t>
        </is>
      </c>
      <c r="J13" s="13" t="inlineStr">
        <is>
          <t>Job 236341: actual cost $2,277 → sold margin -31%</t>
        </is>
      </c>
    </row>
    <row r="15">
      <c r="A15" s="8" t="inlineStr">
        <is>
          <t>Project ID#128013   —   SPOT RW-260629-131349  ·  iQuote #223408</t>
        </is>
      </c>
    </row>
    <row r="16">
      <c r="A16" s="9" t="inlineStr">
        <is>
          <t xml:space="preserve">    6 x 4 x 3 Mailer - Double Sided</t>
        </is>
      </c>
      <c r="B16" s="9" t="inlineStr">
        <is>
          <t>Satin print · CAD Cut · 181" rule</t>
        </is>
      </c>
      <c r="C16" s="9" t="n">
        <v>525</v>
      </c>
      <c r="D16" s="9" t="n">
        <v>2634.69</v>
      </c>
      <c r="E16" s="9" t="n">
        <v>5.018</v>
      </c>
    </row>
    <row r="17">
      <c r="A17" s="10" t="inlineStr">
        <is>
          <t xml:space="preserve">    TOTAL @ qty 525</t>
        </is>
      </c>
      <c r="D17" s="10" t="n">
        <v>2634.69</v>
      </c>
      <c r="F17" s="10" t="n">
        <v>2452.48</v>
      </c>
      <c r="G17" s="10" t="n">
        <v>182.21</v>
      </c>
      <c r="H17" s="10" t="inlineStr">
        <is>
          <t>+7.4%</t>
        </is>
      </c>
      <c r="I17" s="12" t="inlineStr">
        <is>
          <t>PASS</t>
        </is>
      </c>
    </row>
    <row r="19">
      <c r="A19" s="8" t="inlineStr">
        <is>
          <t>PKG153007274 DLN29676   —   SPOT RW-260629-132636  ·  iQuote #223389</t>
        </is>
      </c>
    </row>
    <row r="20">
      <c r="A20" s="9" t="inlineStr">
        <is>
          <t xml:space="preserve">    D/C</t>
        </is>
      </c>
      <c r="B20" s="9" t="inlineStr">
        <is>
          <t>No print · CAD Cut · Hand Stripped · 174" rule</t>
        </is>
      </c>
      <c r="C20" s="9" t="n">
        <v>1700</v>
      </c>
      <c r="D20" s="9" t="n">
        <v>2768.73</v>
      </c>
      <c r="E20" s="9" t="n">
        <v>1.629</v>
      </c>
    </row>
    <row r="21">
      <c r="A21" s="10" t="inlineStr">
        <is>
          <t xml:space="preserve">    TOTAL @ qty 1700</t>
        </is>
      </c>
      <c r="D21" s="10" t="n">
        <v>2768.73</v>
      </c>
      <c r="F21" s="10" t="n">
        <v>4029.71</v>
      </c>
      <c r="G21" s="10" t="n">
        <v>-1260.98</v>
      </c>
      <c r="H21" s="10" t="inlineStr">
        <is>
          <t>-31.3%</t>
        </is>
      </c>
      <c r="I21" s="11" t="inlineStr">
        <is>
          <t>FAIL</t>
        </is>
      </c>
    </row>
    <row r="23">
      <c r="A23" s="8" t="inlineStr">
        <is>
          <t>1748 Meijer PED Tasty Biscuits + Dentastix   —   SPOT RW-260629-133153  ·  iQuote #223378</t>
        </is>
      </c>
    </row>
    <row r="24">
      <c r="A24" s="9" t="inlineStr">
        <is>
          <t xml:space="preserve">    Header</t>
        </is>
      </c>
      <c r="B24" s="9" t="inlineStr">
        <is>
          <t>Gloss print · CAD Cut · Hand Stripped · 283" rule</t>
        </is>
      </c>
      <c r="C24" s="9" t="n">
        <v>250</v>
      </c>
      <c r="D24" s="9" t="n">
        <v>3858.5</v>
      </c>
      <c r="E24" s="9" t="n">
        <v>15.434</v>
      </c>
    </row>
    <row r="25">
      <c r="A25" s="9" t="inlineStr">
        <is>
          <t xml:space="preserve">    Side Panel 2 Out</t>
        </is>
      </c>
      <c r="B25" s="9" t="inlineStr">
        <is>
          <t>Gloss print · Die Cut (Crest) · 189" rule</t>
        </is>
      </c>
      <c r="C25" s="9" t="n">
        <v>500</v>
      </c>
      <c r="D25" s="9" t="n">
        <v>5285.65</v>
      </c>
      <c r="E25" s="9" t="n">
        <v>10.571</v>
      </c>
    </row>
    <row r="26">
      <c r="A26" s="10" t="inlineStr">
        <is>
          <t xml:space="preserve">    TOTAL @ qty 250 sets</t>
        </is>
      </c>
      <c r="D26" s="10" t="n">
        <v>9144.15</v>
      </c>
      <c r="F26" s="10" t="n">
        <v>9322.530000000001</v>
      </c>
      <c r="G26" s="10" t="n">
        <v>-178.38</v>
      </c>
      <c r="H26" s="10" t="inlineStr">
        <is>
          <t>-1.9%</t>
        </is>
      </c>
      <c r="I26" s="12" t="inlineStr">
        <is>
          <t>PASS</t>
        </is>
      </c>
    </row>
    <row r="27">
      <c r="A27" s="14" t="inlineStr">
        <is>
          <t xml:space="preserve">    note: SPOT side panel qty 500 = 250 sets of 2</t>
        </is>
      </c>
    </row>
    <row r="29">
      <c r="A29" s="8" t="inlineStr">
        <is>
          <t>MPC - Meijer Iams   —   SPOT RW-260629-134103  ·  iQuote #223376  ·  BECAME A JOB</t>
        </is>
      </c>
    </row>
    <row r="30">
      <c r="A30" s="9" t="inlineStr">
        <is>
          <t xml:space="preserve">    D26-0126 Header</t>
        </is>
      </c>
      <c r="B30" s="9" t="inlineStr">
        <is>
          <t>Gloss print · CAD Cut · 254" rule</t>
        </is>
      </c>
      <c r="C30" s="9" t="n">
        <v>75</v>
      </c>
      <c r="D30" s="9" t="n">
        <v>1436.41</v>
      </c>
      <c r="E30" s="9" t="n">
        <v>19.152</v>
      </c>
    </row>
    <row r="31">
      <c r="A31" s="9" t="inlineStr">
        <is>
          <t xml:space="preserve">    D26-0131 Graphic Panel</t>
        </is>
      </c>
      <c r="B31" s="9" t="inlineStr">
        <is>
          <t>Gloss print · CAD Cut · 334" rule</t>
        </is>
      </c>
      <c r="C31" s="9" t="n">
        <v>150</v>
      </c>
      <c r="D31" s="9" t="n">
        <v>2078.99</v>
      </c>
      <c r="E31" s="9" t="n">
        <v>13.86</v>
      </c>
    </row>
    <row r="32">
      <c r="A32" s="10" t="inlineStr">
        <is>
          <t xml:space="preserve">    TOTAL @ qty 75/150 kit</t>
        </is>
      </c>
      <c r="D32" s="10" t="n">
        <v>3515.4</v>
      </c>
      <c r="F32" s="10" t="n">
        <v>3134.12</v>
      </c>
      <c r="G32" s="10" t="n">
        <v>381.28</v>
      </c>
      <c r="H32" s="10" t="inlineStr">
        <is>
          <t>+12.2%</t>
        </is>
      </c>
      <c r="I32" s="15" t="inlineStr">
        <is>
          <t>REVIEW</t>
        </is>
      </c>
    </row>
    <row r="34">
      <c r="A34" s="8" t="inlineStr">
        <is>
          <t>Kent Displays Mailer &amp; Insert   —   SPOT RW-260706-094426  ·  iQuote #223488</t>
        </is>
      </c>
    </row>
    <row r="35">
      <c r="A35" s="9" t="inlineStr">
        <is>
          <t xml:space="preserve">    Mailer - Digital Print outside only, CAD Cut</t>
        </is>
      </c>
      <c r="B35" s="9" t="inlineStr">
        <is>
          <t>Satin print · CAD Cut · 277" rule</t>
        </is>
      </c>
      <c r="C35" s="9" t="n">
        <v>300</v>
      </c>
      <c r="D35" s="9" t="n">
        <v>1952.9</v>
      </c>
      <c r="E35" s="9" t="n">
        <v>6.51</v>
      </c>
    </row>
    <row r="36">
      <c r="A36" s="9" t="inlineStr">
        <is>
          <t xml:space="preserve">    Mailer - Digital Print outside AND inside, CAD Cut</t>
        </is>
      </c>
      <c r="B36" s="9" t="inlineStr">
        <is>
          <t>Satin print · CAD Cut · 277" rule</t>
        </is>
      </c>
      <c r="C36" s="9" t="n">
        <v>300</v>
      </c>
      <c r="D36" s="9" t="n">
        <v>1915.76</v>
      </c>
      <c r="E36" s="9" t="n">
        <v>6.386</v>
      </c>
    </row>
    <row r="37">
      <c r="A37" s="9" t="inlineStr">
        <is>
          <t xml:space="preserve">    Insert - Plain white 2 sides, CAD Cut</t>
        </is>
      </c>
      <c r="B37" s="9" t="inlineStr">
        <is>
          <t>No print · CAD Cut · 300" rule</t>
        </is>
      </c>
      <c r="C37" s="9" t="n">
        <v>300</v>
      </c>
      <c r="D37" s="9" t="n">
        <v>1110.58</v>
      </c>
      <c r="E37" s="9" t="n">
        <v>3.702</v>
      </c>
    </row>
    <row r="38">
      <c r="A38" s="9" t="inlineStr">
        <is>
          <t xml:space="preserve">    Insert - White 2 sides, 100% coverage outside, Digital Print outside, CAD Cut</t>
        </is>
      </c>
      <c r="B38" s="9" t="inlineStr">
        <is>
          <t>Satin print · CAD Cut · 300" rule</t>
        </is>
      </c>
      <c r="C38" s="9" t="n">
        <v>300</v>
      </c>
      <c r="D38" s="9" t="n">
        <v>1856.56</v>
      </c>
      <c r="E38" s="9" t="n">
        <v>6.189</v>
      </c>
    </row>
    <row r="39">
      <c r="A39" s="9" t="inlineStr">
        <is>
          <t xml:space="preserve">    Insert - Plain kraft, CAD Cut</t>
        </is>
      </c>
      <c r="B39" s="9" t="inlineStr">
        <is>
          <t>No print · CAD Cut · 300" rule</t>
        </is>
      </c>
      <c r="C39" s="9" t="n">
        <v>300</v>
      </c>
      <c r="D39" s="9" t="n">
        <v>1062.33</v>
      </c>
      <c r="E39" s="9" t="n">
        <v>3.541</v>
      </c>
    </row>
    <row r="40">
      <c r="A40" s="9" t="inlineStr">
        <is>
          <t xml:space="preserve">    Insert - Plain kraft with 100% coverage outside, Digital Print outside, CAD Cut</t>
        </is>
      </c>
      <c r="B40" s="9" t="inlineStr">
        <is>
          <t>Satin print · CAD Cut · 300" rule</t>
        </is>
      </c>
      <c r="C40" s="9" t="n">
        <v>300</v>
      </c>
      <c r="D40" s="9" t="n">
        <v>1800.69</v>
      </c>
      <c r="E40" s="9" t="n">
        <v>6.002</v>
      </c>
    </row>
    <row r="41">
      <c r="A41" s="10" t="inlineStr">
        <is>
          <t xml:space="preserve">    TOTAL @ qty 300</t>
        </is>
      </c>
      <c r="D41" s="10" t="n">
        <v>1952.9</v>
      </c>
      <c r="F41" s="10" t="n">
        <v>1548.37</v>
      </c>
      <c r="G41" s="10" t="n">
        <v>404.53</v>
      </c>
      <c r="H41" s="10" t="inlineStr">
        <is>
          <t>+26.1%</t>
        </is>
      </c>
      <c r="I41" s="11" t="inlineStr">
        <is>
          <t>FAIL</t>
        </is>
      </c>
    </row>
    <row r="42">
      <c r="A42" s="14" t="inlineStr">
        <is>
          <t xml:space="preserve">    note: per-component; 4 inserts have no iQuote counterpart</t>
        </is>
      </c>
    </row>
    <row r="44">
      <c r="A44" s="8" t="inlineStr">
        <is>
          <t>Kent Displays Mailer &amp; Insert   —   SPOT RW-260706-094426  ·  iQuote #223488</t>
        </is>
      </c>
    </row>
    <row r="45">
      <c r="A45" s="9" t="inlineStr">
        <is>
          <t xml:space="preserve">    Mailer - Digital Print outside only, CAD Cut</t>
        </is>
      </c>
      <c r="B45" s="9" t="inlineStr">
        <is>
          <t>Satin print · CAD Cut · 277" rule</t>
        </is>
      </c>
      <c r="C45" s="9" t="n">
        <v>300</v>
      </c>
      <c r="D45" s="9" t="n">
        <v>1952.9</v>
      </c>
      <c r="E45" s="9" t="n">
        <v>6.51</v>
      </c>
    </row>
    <row r="46">
      <c r="A46" s="9" t="inlineStr">
        <is>
          <t xml:space="preserve">    Mailer - Digital Print outside AND inside, CAD Cut</t>
        </is>
      </c>
      <c r="B46" s="9" t="inlineStr">
        <is>
          <t>Satin print · CAD Cut · 277" rule</t>
        </is>
      </c>
      <c r="C46" s="9" t="n">
        <v>300</v>
      </c>
      <c r="D46" s="9" t="n">
        <v>1915.76</v>
      </c>
      <c r="E46" s="9" t="n">
        <v>6.386</v>
      </c>
    </row>
    <row r="47">
      <c r="A47" s="9" t="inlineStr">
        <is>
          <t xml:space="preserve">    Insert - Plain white 2 sides, CAD Cut</t>
        </is>
      </c>
      <c r="B47" s="9" t="inlineStr">
        <is>
          <t>No print · CAD Cut · 300" rule</t>
        </is>
      </c>
      <c r="C47" s="9" t="n">
        <v>300</v>
      </c>
      <c r="D47" s="9" t="n">
        <v>1110.58</v>
      </c>
      <c r="E47" s="9" t="n">
        <v>3.702</v>
      </c>
    </row>
    <row r="48">
      <c r="A48" s="9" t="inlineStr">
        <is>
          <t xml:space="preserve">    Insert - White 2 sides, 100% coverage outside, Digital Print outside, CAD Cut</t>
        </is>
      </c>
      <c r="B48" s="9" t="inlineStr">
        <is>
          <t>Satin print · CAD Cut · 300" rule</t>
        </is>
      </c>
      <c r="C48" s="9" t="n">
        <v>300</v>
      </c>
      <c r="D48" s="9" t="n">
        <v>1856.56</v>
      </c>
      <c r="E48" s="9" t="n">
        <v>6.189</v>
      </c>
    </row>
    <row r="49">
      <c r="A49" s="9" t="inlineStr">
        <is>
          <t xml:space="preserve">    Insert - Plain kraft, CAD Cut</t>
        </is>
      </c>
      <c r="B49" s="9" t="inlineStr">
        <is>
          <t>No print · CAD Cut · 300" rule</t>
        </is>
      </c>
      <c r="C49" s="9" t="n">
        <v>300</v>
      </c>
      <c r="D49" s="9" t="n">
        <v>1062.33</v>
      </c>
      <c r="E49" s="9" t="n">
        <v>3.541</v>
      </c>
    </row>
    <row r="50">
      <c r="A50" s="9" t="inlineStr">
        <is>
          <t xml:space="preserve">    Insert - Plain kraft with 100% coverage outside, Digital Print outside, CAD Cut</t>
        </is>
      </c>
      <c r="B50" s="9" t="inlineStr">
        <is>
          <t>Satin print · CAD Cut · 300" rule</t>
        </is>
      </c>
      <c r="C50" s="9" t="n">
        <v>300</v>
      </c>
      <c r="D50" s="9" t="n">
        <v>1800.69</v>
      </c>
      <c r="E50" s="9" t="n">
        <v>6.002</v>
      </c>
    </row>
    <row r="51">
      <c r="A51" s="10" t="inlineStr">
        <is>
          <t xml:space="preserve">    TOTAL @ qty 300</t>
        </is>
      </c>
      <c r="D51" s="10" t="n">
        <v>1915.76</v>
      </c>
      <c r="F51" s="10" t="n">
        <v>2031.1</v>
      </c>
      <c r="G51" s="10" t="n">
        <v>-115.34</v>
      </c>
      <c r="H51" s="10" t="inlineStr">
        <is>
          <t>-5.7%</t>
        </is>
      </c>
      <c r="I51" s="12" t="inlineStr">
        <is>
          <t>PASS</t>
        </is>
      </c>
    </row>
    <row r="52">
      <c r="A52" s="14" t="inlineStr">
        <is>
          <t xml:space="preserve">    note: per-component</t>
        </is>
      </c>
    </row>
    <row r="54">
      <c r="A54" s="8" t="inlineStr">
        <is>
          <t>48 Count Nacho Fiesta   —   SPOT RW-260706-110912  ·  iQuote #223498</t>
        </is>
      </c>
    </row>
    <row r="55">
      <c r="A55" s="9" t="inlineStr">
        <is>
          <t xml:space="preserve">    Display Header</t>
        </is>
      </c>
      <c r="B55" s="9" t="inlineStr">
        <is>
          <t>Gloss print · CAD Cut · 80" rule</t>
        </is>
      </c>
      <c r="C55" s="9" t="n">
        <v>250</v>
      </c>
      <c r="D55" s="9" t="n">
        <v>991.12</v>
      </c>
      <c r="E55" s="9" t="n">
        <v>3.964</v>
      </c>
    </row>
    <row r="56">
      <c r="A56" s="10" t="inlineStr">
        <is>
          <t xml:space="preserve">    TOTAL @ qty 250</t>
        </is>
      </c>
      <c r="D56" s="10" t="n">
        <v>991.12</v>
      </c>
      <c r="F56" s="10" t="n">
        <v>818.97</v>
      </c>
      <c r="G56" s="10" t="n">
        <v>172.15</v>
      </c>
      <c r="H56" s="10" t="inlineStr">
        <is>
          <t>+21.0%</t>
        </is>
      </c>
      <c r="I56" s="11" t="inlineStr">
        <is>
          <t>FAIL</t>
        </is>
      </c>
    </row>
    <row r="58">
      <c r="A58" s="8" t="inlineStr">
        <is>
          <t>48 Count Nacho Fiesta   —   SPOT RW-260706-110912  ·  iQuote #223498</t>
        </is>
      </c>
    </row>
    <row r="59">
      <c r="A59" s="9" t="inlineStr">
        <is>
          <t xml:space="preserve">    Display Header</t>
        </is>
      </c>
      <c r="B59" s="9" t="inlineStr">
        <is>
          <t>Gloss print · CAD Cut · 80" rule</t>
        </is>
      </c>
      <c r="C59" s="9" t="n">
        <v>350</v>
      </c>
      <c r="D59" s="9" t="n">
        <v>1208.46</v>
      </c>
      <c r="E59" s="9" t="n">
        <v>3.453</v>
      </c>
    </row>
    <row r="60">
      <c r="A60" s="10" t="inlineStr">
        <is>
          <t xml:space="preserve">    TOTAL @ qty 350</t>
        </is>
      </c>
      <c r="D60" s="10" t="n">
        <v>1208.46</v>
      </c>
      <c r="F60" s="10" t="n">
        <v>958.6</v>
      </c>
      <c r="G60" s="10" t="n">
        <v>249.86</v>
      </c>
      <c r="H60" s="10" t="inlineStr">
        <is>
          <t>+26.1%</t>
        </is>
      </c>
      <c r="I60" s="11" t="inlineStr">
        <is>
          <t>FAIL</t>
        </is>
      </c>
    </row>
    <row r="62">
      <c r="A62" s="8" t="inlineStr">
        <is>
          <t>48 Count Nacho Fiesta   —   SPOT RW-260706-110912  ·  iQuote #223498</t>
        </is>
      </c>
    </row>
    <row r="63">
      <c r="A63" s="9" t="inlineStr">
        <is>
          <t xml:space="preserve">    Display Header</t>
        </is>
      </c>
      <c r="B63" s="9" t="inlineStr">
        <is>
          <t>Gloss print · CAD Cut · 80" rule</t>
        </is>
      </c>
      <c r="C63" s="9" t="n">
        <v>500</v>
      </c>
      <c r="D63" s="9" t="n">
        <v>1478.65</v>
      </c>
      <c r="E63" s="9" t="n">
        <v>2.957</v>
      </c>
    </row>
    <row r="64">
      <c r="A64" s="10" t="inlineStr">
        <is>
          <t xml:space="preserve">    TOTAL @ qty 500</t>
        </is>
      </c>
      <c r="D64" s="10" t="n">
        <v>1478.65</v>
      </c>
      <c r="F64" s="10" t="n">
        <v>1168.02</v>
      </c>
      <c r="G64" s="10" t="n">
        <v>310.63</v>
      </c>
      <c r="H64" s="10" t="inlineStr">
        <is>
          <t>+26.6%</t>
        </is>
      </c>
      <c r="I64" s="11" t="inlineStr">
        <is>
          <t>FAIL</t>
        </is>
      </c>
    </row>
    <row r="66">
      <c r="A66" s="8" t="inlineStr">
        <is>
          <t>48 Count Nacho Fiesta   —   SPOT RW-260706-110912  ·  iQuote #223498</t>
        </is>
      </c>
    </row>
    <row r="67">
      <c r="A67" s="9" t="inlineStr">
        <is>
          <t xml:space="preserve">    Display Header</t>
        </is>
      </c>
      <c r="B67" s="9" t="inlineStr">
        <is>
          <t>Gloss print · CAD Cut · 80" rule</t>
        </is>
      </c>
      <c r="C67" s="9" t="n">
        <v>750</v>
      </c>
      <c r="D67" s="9" t="n">
        <v>1565.74</v>
      </c>
      <c r="E67" s="9" t="n">
        <v>2.088</v>
      </c>
    </row>
    <row r="68">
      <c r="A68" s="10" t="inlineStr">
        <is>
          <t xml:space="preserve">    TOTAL @ qty 750</t>
        </is>
      </c>
      <c r="D68" s="10" t="n">
        <v>1565.74</v>
      </c>
      <c r="F68" s="10" t="n">
        <v>1517.07</v>
      </c>
      <c r="G68" s="10" t="n">
        <v>48.67</v>
      </c>
      <c r="H68" s="10" t="inlineStr">
        <is>
          <t>+3.2%</t>
        </is>
      </c>
      <c r="I68" s="12" t="inlineStr">
        <is>
          <t>PASS</t>
        </is>
      </c>
    </row>
    <row r="70">
      <c r="A70" s="8" t="inlineStr">
        <is>
          <t>C8(C9) 26 LP Meijer Elvive Floorstand - 129729   —   SPOT RW-260709-132147  ·  iQuote #221998</t>
        </is>
      </c>
    </row>
    <row r="71">
      <c r="A71" s="9" t="inlineStr">
        <is>
          <t xml:space="preserve">    Shelves (3 versions)</t>
        </is>
      </c>
      <c r="B71" s="9" t="inlineStr">
        <is>
          <t>Satin print · Die Cut (Crest) · 384" rule</t>
        </is>
      </c>
      <c r="C71" s="9" t="n">
        <v>1575</v>
      </c>
      <c r="D71" s="9" t="n">
        <v>12649.14</v>
      </c>
      <c r="E71" s="9" t="n">
        <v>8.031000000000001</v>
      </c>
    </row>
    <row r="72">
      <c r="A72" s="9" t="inlineStr">
        <is>
          <t xml:space="preserve">    Inside Back Panel</t>
        </is>
      </c>
      <c r="B72" s="9" t="inlineStr">
        <is>
          <t>Gloss print · Die Cut (Crest) · 464" rule</t>
        </is>
      </c>
      <c r="C72" s="9" t="n">
        <v>525</v>
      </c>
      <c r="D72" s="9" t="n">
        <v>6550.19</v>
      </c>
      <c r="E72" s="9" t="n">
        <v>12.477</v>
      </c>
    </row>
    <row r="73">
      <c r="A73" s="9" t="inlineStr">
        <is>
          <t xml:space="preserve">    Left Hand Side</t>
        </is>
      </c>
      <c r="B73" s="9" t="inlineStr">
        <is>
          <t>Satin print · Die Cut (Crest) · Hand Stripped · 479" rule</t>
        </is>
      </c>
      <c r="C73" s="9" t="n">
        <v>525</v>
      </c>
      <c r="D73" s="9" t="n">
        <v>3746.68</v>
      </c>
      <c r="E73" s="9" t="n">
        <v>7.137</v>
      </c>
    </row>
    <row r="74">
      <c r="A74" s="9" t="inlineStr">
        <is>
          <t xml:space="preserve">    Right Hand Side</t>
        </is>
      </c>
      <c r="B74" s="9" t="inlineStr">
        <is>
          <t>Satin print · Die Cut (Crest) · Hand Stripped · 479" rule</t>
        </is>
      </c>
      <c r="C74" s="9" t="n">
        <v>525</v>
      </c>
      <c r="D74" s="9" t="n">
        <v>3746.68</v>
      </c>
      <c r="E74" s="9" t="n">
        <v>7.137</v>
      </c>
    </row>
    <row r="75">
      <c r="A75" s="9" t="inlineStr">
        <is>
          <t xml:space="preserve">    Base Panel</t>
        </is>
      </c>
      <c r="B75" s="9" t="inlineStr">
        <is>
          <t>Satin print · CAD Cut · Hand Stripped · 285" rule</t>
        </is>
      </c>
      <c r="C75" s="9" t="n">
        <v>525</v>
      </c>
      <c r="D75" s="9" t="n">
        <v>3828.61</v>
      </c>
      <c r="E75" s="9" t="n">
        <v>7.293</v>
      </c>
    </row>
    <row r="76">
      <c r="A76" s="9" t="inlineStr">
        <is>
          <t xml:space="preserve">    Product Box - Machine Run, Glue In</t>
        </is>
      </c>
      <c r="B76" s="9" t="inlineStr">
        <is>
          <t>Satin print · Die Cut (Crest) · Glued (1 jt) · 367" rule</t>
        </is>
      </c>
      <c r="C76" s="9" t="n">
        <v>525</v>
      </c>
      <c r="D76" s="9" t="n">
        <v>3860.43</v>
      </c>
      <c r="E76" s="9" t="n">
        <v>7.353</v>
      </c>
    </row>
    <row r="77">
      <c r="A77" s="10" t="inlineStr">
        <is>
          <t xml:space="preserve">    TOTAL @ qty 525 kit</t>
        </is>
      </c>
      <c r="D77" s="10" t="n">
        <v>34381.73</v>
      </c>
      <c r="F77" s="10" t="n">
        <v>40873.15</v>
      </c>
      <c r="G77" s="10" t="n">
        <v>-6491.42</v>
      </c>
      <c r="H77" s="10" t="inlineStr">
        <is>
          <t>-15.9%</t>
        </is>
      </c>
      <c r="I77" s="15" t="inlineStr">
        <is>
          <t>REVIEW</t>
        </is>
      </c>
    </row>
    <row r="78">
      <c r="A78" s="14" t="inlineStr">
        <is>
          <t xml:space="preserve">    note: Riser excluded (not in SPOT est)</t>
        </is>
      </c>
    </row>
    <row r="80">
      <c r="A80" s="8" t="inlineStr">
        <is>
          <t>Re-Frame Display - Walmart (HOT Prototype)   —   SPOT RW-260717-111921  ·  iQuote #223706</t>
        </is>
      </c>
    </row>
    <row r="81">
      <c r="A81" s="9" t="inlineStr">
        <is>
          <t xml:space="preserve">    Middle Base</t>
        </is>
      </c>
      <c r="B81" s="9" t="inlineStr">
        <is>
          <t>Satin print · CAD Cut · Hand Stripped · 958" rule</t>
        </is>
      </c>
      <c r="C81" s="9" t="n">
        <v>2</v>
      </c>
      <c r="D81" s="9" t="n">
        <v>490.26</v>
      </c>
      <c r="E81" s="9" t="n">
        <v>245.13</v>
      </c>
    </row>
    <row r="82">
      <c r="A82" s="9" t="inlineStr">
        <is>
          <t xml:space="preserve">    Shelf</t>
        </is>
      </c>
      <c r="B82" s="9" t="inlineStr">
        <is>
          <t>Satin print · CAD Cut · 279" rule</t>
        </is>
      </c>
      <c r="C82" s="9" t="n">
        <v>8</v>
      </c>
      <c r="D82" s="9" t="n">
        <v>511.19</v>
      </c>
      <c r="E82" s="9" t="n">
        <v>63.899</v>
      </c>
    </row>
    <row r="83">
      <c r="A83" s="9" t="inlineStr">
        <is>
          <t xml:space="preserve">    Columns</t>
        </is>
      </c>
      <c r="B83" s="9" t="inlineStr">
        <is>
          <t>Satin print · CAD Cut · Glued (1 jt) · 559" rule</t>
        </is>
      </c>
      <c r="C83" s="9" t="n">
        <v>4</v>
      </c>
      <c r="D83" s="9" t="n">
        <v>561.54</v>
      </c>
      <c r="E83" s="9" t="n">
        <v>140.385</v>
      </c>
    </row>
    <row r="84">
      <c r="A84" s="9" t="inlineStr">
        <is>
          <t xml:space="preserve">    Base Tray</t>
        </is>
      </c>
      <c r="B84" s="9" t="inlineStr">
        <is>
          <t>Satin print · CAD Cut · 697" rule</t>
        </is>
      </c>
      <c r="C84" s="9" t="n">
        <v>2</v>
      </c>
      <c r="D84" s="9" t="n">
        <v>482.62</v>
      </c>
      <c r="E84" s="9" t="n">
        <v>241.31</v>
      </c>
    </row>
    <row r="85">
      <c r="A85" s="9" t="inlineStr">
        <is>
          <t xml:space="preserve">    Header</t>
        </is>
      </c>
      <c r="B85" s="9" t="inlineStr">
        <is>
          <t>Satin print · CAD Cut · 135" rule</t>
        </is>
      </c>
      <c r="C85" s="9" t="n">
        <v>2</v>
      </c>
      <c r="D85" s="9" t="n">
        <v>405.49</v>
      </c>
      <c r="E85" s="9" t="n">
        <v>202.745</v>
      </c>
    </row>
    <row r="86">
      <c r="A86" s="9" t="inlineStr">
        <is>
          <t xml:space="preserve">    Display Tray</t>
        </is>
      </c>
      <c r="B86" s="9" t="inlineStr">
        <is>
          <t>Satin print · CAD Cut · 296" rule</t>
        </is>
      </c>
      <c r="C86" s="9" t="n">
        <v>2</v>
      </c>
      <c r="D86" s="9" t="n">
        <v>408.34</v>
      </c>
      <c r="E86" s="9" t="n">
        <v>204.17</v>
      </c>
    </row>
    <row r="87">
      <c r="A87" s="10" t="inlineStr">
        <is>
          <t xml:space="preserve">    TOTAL @ qty 2/4/8 kit</t>
        </is>
      </c>
      <c r="D87" s="10" t="n">
        <v>2859.44</v>
      </c>
      <c r="F87" s="10" t="n">
        <v>1803.46</v>
      </c>
      <c r="G87" s="10" t="n">
        <v>1055.98</v>
      </c>
      <c r="H87" s="10" t="inlineStr">
        <is>
          <t>+58.6%</t>
        </is>
      </c>
      <c r="I87" s="11" t="inlineStr">
        <is>
          <t>FAIL</t>
        </is>
      </c>
    </row>
    <row r="89">
      <c r="A89" s="8" t="inlineStr">
        <is>
          <t>J63068 - Moen Lowes Prepacks (Project 7655)   —   SPOT RW-260720-082503  ·  iQuote #223583  ·  BECAME A JOB   [OUTLIER — see detailed workbook]</t>
        </is>
      </c>
    </row>
    <row r="90">
      <c r="A90" s="9" t="inlineStr">
        <is>
          <t xml:space="preserve">    Header </t>
        </is>
      </c>
      <c r="B90" s="9" t="inlineStr">
        <is>
          <t>Gloss print · CAD Cut · Hand Stripped · 117" rule</t>
        </is>
      </c>
      <c r="C90" s="9" t="n">
        <v>918</v>
      </c>
      <c r="D90" s="9" t="n">
        <v>3410.98</v>
      </c>
      <c r="E90" s="9" t="n">
        <v>3.716</v>
      </c>
    </row>
    <row r="91">
      <c r="A91" s="9" t="inlineStr">
        <is>
          <t xml:space="preserve">    Header </t>
        </is>
      </c>
      <c r="B91" s="9" t="inlineStr">
        <is>
          <t>Gloss print · CAD Cut · Hand Stripped · 117" rule</t>
        </is>
      </c>
      <c r="C91" s="9" t="n">
        <v>1750</v>
      </c>
      <c r="D91" s="9" t="n">
        <v>5612.15</v>
      </c>
      <c r="E91" s="9" t="n">
        <v>3.207</v>
      </c>
    </row>
    <row r="92">
      <c r="A92" s="10" t="inlineStr">
        <is>
          <t xml:space="preserve">    TOTAL @ qty 918+1750</t>
        </is>
      </c>
      <c r="D92" s="10" t="n">
        <v>9023.129999999999</v>
      </c>
      <c r="F92" s="10" t="n">
        <v>16354.54</v>
      </c>
      <c r="G92" s="10" t="n">
        <v>-7331.41</v>
      </c>
      <c r="H92" s="10" t="inlineStr">
        <is>
          <t>-44.8%</t>
        </is>
      </c>
      <c r="I92" s="11" t="inlineStr">
        <is>
          <t>FAIL</t>
        </is>
      </c>
    </row>
    <row r="93">
      <c r="A93" s="14" t="inlineStr">
        <is>
          <t xml:space="preserve">    note: SPOT: 1 comp x 2 qty; iQuote: 2 products 919+1751</t>
        </is>
      </c>
    </row>
    <row r="95">
      <c r="A95" s="8" t="inlineStr">
        <is>
          <t>TSC Holiday Iams Cat Mixed Full Pallet   —   SPOT RW-260720-083107  ·  iQuote #223752</t>
        </is>
      </c>
    </row>
    <row r="96">
      <c r="A96" s="9" t="inlineStr">
        <is>
          <t xml:space="preserve">    Corner Graphic</t>
        </is>
      </c>
      <c r="B96" s="9" t="inlineStr">
        <is>
          <t>Gloss print · CAD Cut · Hand Stripped · Tape (Reinforced x1) · 136" rule</t>
        </is>
      </c>
      <c r="C96" s="9" t="n">
        <v>600</v>
      </c>
      <c r="D96" s="9" t="n">
        <v>3418.16</v>
      </c>
      <c r="E96" s="9" t="n">
        <v>5.697</v>
      </c>
    </row>
    <row r="97">
      <c r="A97" s="10" t="inlineStr">
        <is>
          <t xml:space="preserve">    TOTAL @ qty 600</t>
        </is>
      </c>
      <c r="D97" s="10" t="n">
        <v>3418.16</v>
      </c>
      <c r="F97" s="10" t="n">
        <v>2931.56</v>
      </c>
      <c r="G97" s="10" t="n">
        <v>486.6</v>
      </c>
      <c r="H97" s="10" t="inlineStr">
        <is>
          <t>+16.6%</t>
        </is>
      </c>
      <c r="I97" s="15" t="inlineStr">
        <is>
          <t>REVIEW</t>
        </is>
      </c>
    </row>
    <row r="99">
      <c r="A99" s="8" t="inlineStr">
        <is>
          <t>3M Wall Repair Kit   —   SPOT RW-260720-093753  ·  iQuote #221299</t>
        </is>
      </c>
    </row>
    <row r="100">
      <c r="A100" s="9" t="inlineStr">
        <is>
          <t xml:space="preserve">    Standard Wall Repair Kit Box</t>
        </is>
      </c>
      <c r="B100" s="9" t="inlineStr">
        <is>
          <t>Satin print · CAD Cut · Hand Stripped · 311" rule</t>
        </is>
      </c>
      <c r="C100" s="9" t="n">
        <v>300</v>
      </c>
      <c r="D100" s="9" t="n">
        <v>2277.38</v>
      </c>
      <c r="E100" s="9" t="n">
        <v>7.591</v>
      </c>
    </row>
    <row r="101">
      <c r="A101" s="9" t="inlineStr">
        <is>
          <t xml:space="preserve">    Premium Wall Repair Kit Box</t>
        </is>
      </c>
      <c r="B101" s="9" t="inlineStr">
        <is>
          <t>Satin print · CAD Cut · Hand Stripped · 343" rule</t>
        </is>
      </c>
      <c r="C101" s="9" t="n">
        <v>30</v>
      </c>
      <c r="D101" s="9" t="n">
        <v>729.51</v>
      </c>
      <c r="E101" s="9" t="n">
        <v>24.317</v>
      </c>
    </row>
    <row r="102">
      <c r="A102" s="10" t="inlineStr">
        <is>
          <t xml:space="preserve">    TOTAL @ qty 30/300 kit</t>
        </is>
      </c>
      <c r="D102" s="10" t="n">
        <v>3006.89</v>
      </c>
      <c r="F102" s="10" t="n">
        <v>2570.16</v>
      </c>
      <c r="G102" s="10" t="n">
        <v>436.73</v>
      </c>
      <c r="H102" s="10" t="inlineStr">
        <is>
          <t>+17.0%</t>
        </is>
      </c>
      <c r="I102" s="15" t="inlineStr">
        <is>
          <t>REVIEW</t>
        </is>
      </c>
    </row>
    <row r="104">
      <c r="A104" s="8" t="inlineStr">
        <is>
          <t>Trad Favorites   —   SPOT RW-260720-112723  ·  iQuote #223707</t>
        </is>
      </c>
    </row>
    <row r="105">
      <c r="A105" s="9" t="inlineStr">
        <is>
          <t xml:space="preserve">    D/C Tray</t>
        </is>
      </c>
      <c r="B105" s="9" t="inlineStr">
        <is>
          <t>Gloss print · CAD Cut · Hand Stripped · 140" rule</t>
        </is>
      </c>
      <c r="C105" s="9" t="n">
        <v>1300</v>
      </c>
      <c r="D105" s="9" t="n">
        <v>3661.24</v>
      </c>
      <c r="E105" s="9" t="n">
        <v>2.816</v>
      </c>
    </row>
    <row r="106">
      <c r="A106" s="10" t="inlineStr">
        <is>
          <t xml:space="preserve">    TOTAL @ qty 1300</t>
        </is>
      </c>
      <c r="D106" s="10" t="n">
        <v>3661.24</v>
      </c>
      <c r="F106" s="10" t="n">
        <v>5528.87</v>
      </c>
      <c r="G106" s="10" t="n">
        <v>-1867.63</v>
      </c>
      <c r="H106" s="10" t="inlineStr">
        <is>
          <t>-33.8%</t>
        </is>
      </c>
      <c r="I106" s="11" t="inlineStr">
        <is>
          <t>FAIL</t>
        </is>
      </c>
    </row>
    <row r="108">
      <c r="A108" s="8" t="inlineStr">
        <is>
          <t>Vitamix 154042 POP - 2pc / 154727   —   SPOT RW-260720-132349  ·  iQuote #223702</t>
        </is>
      </c>
    </row>
    <row r="109">
      <c r="A109" s="9" t="inlineStr">
        <is>
          <t xml:space="preserve">    Vitamix POP Component 1 of 2</t>
        </is>
      </c>
      <c r="B109" s="9" t="inlineStr">
        <is>
          <t>Gloss print · Die Cut (Crest) · Hand Stripped · Glued (1 jt) · 381" rule</t>
        </is>
      </c>
      <c r="C109" s="9" t="n">
        <v>250</v>
      </c>
      <c r="D109" s="9" t="n">
        <v>3871.75</v>
      </c>
      <c r="E109" s="9" t="n">
        <v>15.487</v>
      </c>
    </row>
    <row r="110">
      <c r="A110" s="9" t="inlineStr">
        <is>
          <t xml:space="preserve">    Vitamix POP Component 2 of 2</t>
        </is>
      </c>
      <c r="B110" s="9" t="inlineStr">
        <is>
          <t>Gloss print · Die Cut (Crest) · Hand Stripped · Glued (1 jt) · 365" rule</t>
        </is>
      </c>
      <c r="C110" s="9" t="n">
        <v>250</v>
      </c>
      <c r="D110" s="9" t="n">
        <v>3873.08</v>
      </c>
      <c r="E110" s="9" t="n">
        <v>15.492</v>
      </c>
    </row>
    <row r="111">
      <c r="A111" s="10" t="inlineStr">
        <is>
          <t xml:space="preserve">    TOTAL @ qty 250</t>
        </is>
      </c>
      <c r="D111" s="10" t="n">
        <v>7744.83</v>
      </c>
      <c r="F111" s="10" t="n">
        <v>9166.92</v>
      </c>
      <c r="G111" s="10" t="n">
        <v>-1422.09</v>
      </c>
      <c r="H111" s="10" t="inlineStr">
        <is>
          <t>-15.5%</t>
        </is>
      </c>
      <c r="I111" s="15" t="inlineStr">
        <is>
          <t>REVIEW</t>
        </is>
      </c>
    </row>
    <row r="113">
      <c r="A113" s="8" t="inlineStr">
        <is>
          <t>Vitamix 154042 POP - 2pc / 154727   —   SPOT RW-260720-132349  ·  iQuote #223702</t>
        </is>
      </c>
    </row>
    <row r="114">
      <c r="A114" s="9" t="inlineStr">
        <is>
          <t xml:space="preserve">    Vitamix POP Component 1 of 2</t>
        </is>
      </c>
      <c r="B114" s="9" t="inlineStr">
        <is>
          <t>Gloss print · Die Cut (Crest) · Hand Stripped · Glued (1 jt) · 381" rule</t>
        </is>
      </c>
      <c r="C114" s="9" t="n">
        <v>500</v>
      </c>
      <c r="D114" s="9" t="n">
        <v>6999.57</v>
      </c>
      <c r="E114" s="9" t="n">
        <v>13.999</v>
      </c>
    </row>
    <row r="115">
      <c r="A115" s="9" t="inlineStr">
        <is>
          <t xml:space="preserve">    Vitamix POP Component 2 of 2</t>
        </is>
      </c>
      <c r="B115" s="9" t="inlineStr">
        <is>
          <t>Gloss print · Die Cut (Crest) · Hand Stripped · Glued (1 jt) · 365" rule</t>
        </is>
      </c>
      <c r="C115" s="9" t="n">
        <v>500</v>
      </c>
      <c r="D115" s="9" t="n">
        <v>7000.9</v>
      </c>
      <c r="E115" s="9" t="n">
        <v>14.002</v>
      </c>
    </row>
    <row r="116">
      <c r="A116" s="10" t="inlineStr">
        <is>
          <t xml:space="preserve">    TOTAL @ qty 500</t>
        </is>
      </c>
      <c r="D116" s="10" t="n">
        <v>14000.47</v>
      </c>
      <c r="F116" s="10" t="n">
        <v>14908.08</v>
      </c>
      <c r="G116" s="10" t="n">
        <v>-907.61</v>
      </c>
      <c r="H116" s="10" t="inlineStr">
        <is>
          <t>-6.1%</t>
        </is>
      </c>
      <c r="I116" s="12" t="inlineStr">
        <is>
          <t>PASS</t>
        </is>
      </c>
    </row>
    <row r="118">
      <c r="A118" s="8" t="inlineStr">
        <is>
          <t>TR-10351 16x8.5x6   —   SPOT RW-260720-133223  ·  iQuote #223701</t>
        </is>
      </c>
    </row>
    <row r="119">
      <c r="A119" s="9" t="inlineStr">
        <is>
          <t xml:space="preserve">    Front Tuck Mailer 16x8.5x6</t>
        </is>
      </c>
      <c r="B119" s="9" t="inlineStr">
        <is>
          <t>Gloss print · CAD Cut · Hand Stripped · 376" rule</t>
        </is>
      </c>
      <c r="C119" s="9" t="n">
        <v>100</v>
      </c>
      <c r="D119" s="9" t="n">
        <v>1969.15</v>
      </c>
      <c r="E119" s="9" t="n">
        <v>19.692</v>
      </c>
    </row>
    <row r="120">
      <c r="A120" s="9" t="inlineStr">
        <is>
          <t xml:space="preserve">    Front Tuck Mailer 16x8.5x3.25</t>
        </is>
      </c>
      <c r="B120" s="9" t="inlineStr">
        <is>
          <t>Gloss print · CAD Cut · 314" rule</t>
        </is>
      </c>
      <c r="C120" s="9" t="n">
        <v>100</v>
      </c>
      <c r="D120" s="9" t="n">
        <v>1368.74</v>
      </c>
      <c r="E120" s="9" t="n">
        <v>13.687</v>
      </c>
    </row>
    <row r="121">
      <c r="A121" s="10" t="inlineStr">
        <is>
          <t xml:space="preserve">    TOTAL @ qty 100</t>
        </is>
      </c>
      <c r="D121" s="10" t="n">
        <v>3337.89</v>
      </c>
      <c r="F121" s="10" t="n">
        <v>3463.91</v>
      </c>
      <c r="G121" s="10" t="n">
        <v>-126.02</v>
      </c>
      <c r="H121" s="10" t="inlineStr">
        <is>
          <t>-3.6%</t>
        </is>
      </c>
      <c r="I121" s="12" t="inlineStr">
        <is>
          <t>PASS</t>
        </is>
      </c>
    </row>
    <row r="123">
      <c r="A123" s="8" t="inlineStr">
        <is>
          <t>TR-10351 16x8.5x6   —   SPOT RW-260720-133223  ·  iQuote #223701</t>
        </is>
      </c>
    </row>
    <row r="124">
      <c r="A124" s="9" t="inlineStr">
        <is>
          <t xml:space="preserve">    Front Tuck Mailer 16x8.5x6</t>
        </is>
      </c>
      <c r="B124" s="9" t="inlineStr">
        <is>
          <t>Gloss print · CAD Cut · Hand Stripped · 376" rule</t>
        </is>
      </c>
      <c r="C124" s="9" t="n">
        <v>200</v>
      </c>
      <c r="D124" s="9" t="n">
        <v>3251.33</v>
      </c>
      <c r="E124" s="9" t="n">
        <v>16.257</v>
      </c>
    </row>
    <row r="125">
      <c r="A125" s="9" t="inlineStr">
        <is>
          <t xml:space="preserve">    Front Tuck Mailer 16x8.5x3.25</t>
        </is>
      </c>
      <c r="B125" s="9" t="inlineStr">
        <is>
          <t>Gloss print · CAD Cut · 314" rule</t>
        </is>
      </c>
      <c r="C125" s="9" t="n">
        <v>200</v>
      </c>
      <c r="D125" s="9" t="n">
        <v>1745.06</v>
      </c>
      <c r="E125" s="9" t="n">
        <v>8.725</v>
      </c>
    </row>
    <row r="126">
      <c r="A126" s="10" t="inlineStr">
        <is>
          <t xml:space="preserve">    TOTAL @ qty 200</t>
        </is>
      </c>
      <c r="D126" s="10" t="n">
        <v>4996.39</v>
      </c>
      <c r="F126" s="10" t="n">
        <v>5894.43</v>
      </c>
      <c r="G126" s="10" t="n">
        <v>-898.04</v>
      </c>
      <c r="H126" s="10" t="inlineStr">
        <is>
          <t>-15.2%</t>
        </is>
      </c>
      <c r="I126" s="15" t="inlineStr">
        <is>
          <t>REVIEW</t>
        </is>
      </c>
    </row>
    <row r="128">
      <c r="A128" s="8" t="inlineStr">
        <is>
          <t>TR-10351 16x8.5x6   —   SPOT RW-260720-133223  ·  iQuote #223701</t>
        </is>
      </c>
    </row>
    <row r="129">
      <c r="A129" s="9" t="inlineStr">
        <is>
          <t xml:space="preserve">    Front Tuck Mailer 16x8.5x6</t>
        </is>
      </c>
      <c r="B129" s="9" t="inlineStr">
        <is>
          <t>Gloss print · CAD Cut · Hand Stripped · 376" rule</t>
        </is>
      </c>
      <c r="C129" s="9" t="n">
        <v>50</v>
      </c>
      <c r="D129" s="9" t="n">
        <v>1474.02</v>
      </c>
      <c r="E129" s="9" t="n">
        <v>29.48</v>
      </c>
    </row>
    <row r="130">
      <c r="A130" s="9" t="inlineStr">
        <is>
          <t xml:space="preserve">    Front Tuck Mailer 16x8.5x3.25</t>
        </is>
      </c>
      <c r="B130" s="9" t="inlineStr">
        <is>
          <t>Gloss print · CAD Cut · 314" rule</t>
        </is>
      </c>
      <c r="C130" s="9" t="n">
        <v>50</v>
      </c>
      <c r="D130" s="9" t="n">
        <v>975.05</v>
      </c>
      <c r="E130" s="9" t="n">
        <v>19.501</v>
      </c>
    </row>
    <row r="131">
      <c r="A131" s="10" t="inlineStr">
        <is>
          <t xml:space="preserve">    TOTAL @ qty 50</t>
        </is>
      </c>
      <c r="D131" s="10" t="n">
        <v>2449.07</v>
      </c>
      <c r="F131" s="10" t="n">
        <v>2142.17</v>
      </c>
      <c r="G131" s="10" t="n">
        <v>306.9</v>
      </c>
      <c r="H131" s="10" t="inlineStr">
        <is>
          <t>+14.3%</t>
        </is>
      </c>
      <c r="I131" s="15" t="inlineStr">
        <is>
          <t>REVIEW</t>
        </is>
      </c>
    </row>
    <row r="133">
      <c r="A133" s="8" t="inlineStr">
        <is>
          <t>Schaeffler Vehicle Lifetime P-17-EC-K251 87X87X43-INA Schachtel TEST   —   SPOT RW-260720-134257  ·  iQuote #223689</t>
        </is>
      </c>
    </row>
    <row r="134">
      <c r="A134" s="9" t="inlineStr">
        <is>
          <t xml:space="preserve">    Digital direct print folding-style carton</t>
        </is>
      </c>
      <c r="B134" s="9" t="inlineStr">
        <is>
          <t>Gloss print · Die Cut (Crest) · Hand Stripped · Glued (3 jt)</t>
        </is>
      </c>
      <c r="C134" s="9" t="n">
        <v>700</v>
      </c>
      <c r="D134" s="9" t="n">
        <v>5753.95</v>
      </c>
      <c r="E134" s="9" t="n">
        <v>8.220000000000001</v>
      </c>
    </row>
    <row r="135">
      <c r="A135" s="10" t="inlineStr">
        <is>
          <t xml:space="preserve">    TOTAL @ qty 700</t>
        </is>
      </c>
      <c r="D135" s="10" t="n">
        <v>5753.95</v>
      </c>
      <c r="F135" s="10" t="n">
        <v>4904.67</v>
      </c>
      <c r="G135" s="10" t="n">
        <v>849.28</v>
      </c>
      <c r="H135" s="10" t="inlineStr">
        <is>
          <t>+17.3%</t>
        </is>
      </c>
      <c r="I135" s="15" t="inlineStr">
        <is>
          <t>REVIEW</t>
        </is>
      </c>
    </row>
    <row r="137">
      <c r="A137" s="8" t="inlineStr">
        <is>
          <t>Fatt Boyy Knife &amp; Tool - Folding Knife Pizza Box   —   SPOT RW-260721-102108  ·  iQuote #223785</t>
        </is>
      </c>
    </row>
    <row r="138">
      <c r="A138" s="9" t="inlineStr">
        <is>
          <t xml:space="preserve">    Folding Knife Pizza Box</t>
        </is>
      </c>
      <c r="B138" s="9" t="inlineStr">
        <is>
          <t>Satin print · CAD Cut · Hand Stripped · 111" rule</t>
        </is>
      </c>
      <c r="C138" s="9" t="n">
        <v>500</v>
      </c>
      <c r="D138" s="9" t="n">
        <v>1183.59</v>
      </c>
      <c r="E138" s="9" t="n">
        <v>2.367</v>
      </c>
    </row>
    <row r="139">
      <c r="A139" s="10" t="inlineStr">
        <is>
          <t xml:space="preserve">    TOTAL @ qty 500</t>
        </is>
      </c>
      <c r="D139" s="10" t="n">
        <v>1183.59</v>
      </c>
      <c r="F139" s="10" t="n">
        <v>1003.06</v>
      </c>
      <c r="G139" s="10" t="n">
        <v>180.53</v>
      </c>
      <c r="H139" s="10" t="inlineStr">
        <is>
          <t>+18.0%</t>
        </is>
      </c>
      <c r="I139" s="15" t="inlineStr">
        <is>
          <t>REVIEW</t>
        </is>
      </c>
    </row>
    <row r="141">
      <c r="A141" s="8" t="inlineStr">
        <is>
          <t>New Piston Kit   —   SPOT RW-260721-135500  ·  iQuote #223597  ·  BECAME A JOB</t>
        </is>
      </c>
    </row>
    <row r="142">
      <c r="A142" s="9" t="inlineStr">
        <is>
          <t xml:space="preserve">    Front Tuck w/ Partition</t>
        </is>
      </c>
      <c r="B142" s="9" t="inlineStr">
        <is>
          <t>Gloss print · CAD Cut · Hand Stripped · 422" rule</t>
        </is>
      </c>
      <c r="C142" s="9" t="n">
        <v>250</v>
      </c>
      <c r="D142" s="9" t="n">
        <v>3176.43</v>
      </c>
      <c r="E142" s="9" t="n">
        <v>12.706</v>
      </c>
    </row>
    <row r="143">
      <c r="A143" s="10" t="inlineStr">
        <is>
          <t xml:space="preserve">    TOTAL @ qty 250</t>
        </is>
      </c>
      <c r="D143" s="10" t="n">
        <v>3176.43</v>
      </c>
      <c r="F143" s="10" t="n">
        <v>2749.42</v>
      </c>
      <c r="G143" s="10" t="n">
        <v>427.01</v>
      </c>
      <c r="H143" s="10" t="inlineStr">
        <is>
          <t>+15.5%</t>
        </is>
      </c>
      <c r="I143" s="15" t="inlineStr">
        <is>
          <t>REVIEW</t>
        </is>
      </c>
    </row>
    <row r="145">
      <c r="A145" s="8" t="inlineStr">
        <is>
          <t>Vitamix digital pricing for orders   —   SPOT RW-260722-082345  ·  iQuote #223591  ·  BECAME A JOB</t>
        </is>
      </c>
    </row>
    <row r="146">
      <c r="A146" s="9" t="inlineStr">
        <is>
          <t xml:space="preserve">    RSC</t>
        </is>
      </c>
      <c r="B146" s="9" t="inlineStr">
        <is>
          <t>Gloss print · Die Cut (Crest) · Hand Stripped · Glued (1 jt) · 504" rule</t>
        </is>
      </c>
      <c r="C146" s="9" t="n">
        <v>250</v>
      </c>
      <c r="D146" s="9" t="n">
        <v>6773.57</v>
      </c>
      <c r="E146" s="9" t="n">
        <v>27.094</v>
      </c>
    </row>
    <row r="147">
      <c r="A147" s="10" t="inlineStr">
        <is>
          <t xml:space="preserve">    TOTAL @ qty 250</t>
        </is>
      </c>
      <c r="D147" s="10" t="n">
        <v>6773.57</v>
      </c>
      <c r="F147" s="10" t="n">
        <v>6549.08</v>
      </c>
      <c r="G147" s="10" t="n">
        <v>224.49</v>
      </c>
      <c r="H147" s="10" t="inlineStr">
        <is>
          <t>+3.4%</t>
        </is>
      </c>
      <c r="I147" s="12" t="inlineStr">
        <is>
          <t>PASS</t>
        </is>
      </c>
      <c r="J147" s="13" t="inlineStr">
        <is>
          <t>Job 236943: actual cost $9,468 → sold margin -118%</t>
        </is>
      </c>
    </row>
    <row r="149">
      <c r="A149" s="8" t="inlineStr">
        <is>
          <t>Vitamix digital pricing for orders   —   SPOT RW-260722-082345  ·  iQuote #223591  ·  BECAME A JOB</t>
        </is>
      </c>
    </row>
    <row r="150">
      <c r="A150" s="9" t="inlineStr">
        <is>
          <t xml:space="preserve">    RSC</t>
        </is>
      </c>
      <c r="B150" s="9" t="inlineStr">
        <is>
          <t>Gloss print · Die Cut (Crest) · Hand Stripped · Glued (1 jt) · 504" rule</t>
        </is>
      </c>
      <c r="C150" s="9" t="n">
        <v>300</v>
      </c>
      <c r="D150" s="9" t="n">
        <v>8044.68</v>
      </c>
      <c r="E150" s="9" t="n">
        <v>26.816</v>
      </c>
    </row>
    <row r="151">
      <c r="A151" s="10" t="inlineStr">
        <is>
          <t xml:space="preserve">    TOTAL @ qty 300</t>
        </is>
      </c>
      <c r="D151" s="10" t="n">
        <v>8044.68</v>
      </c>
      <c r="F151" s="10" t="n">
        <v>7577.35</v>
      </c>
      <c r="G151" s="10" t="n">
        <v>467.33</v>
      </c>
      <c r="H151" s="10" t="inlineStr">
        <is>
          <t>+6.2%</t>
        </is>
      </c>
      <c r="I151" s="12" t="inlineStr">
        <is>
          <t>PASS</t>
        </is>
      </c>
    </row>
    <row r="153">
      <c r="A153" s="8" t="inlineStr">
        <is>
          <t>RFQ Scotts 07-09-26   —   SPOT RW-260722-085112  ·  iQuote #223596  ·  BECAME A JOB</t>
        </is>
      </c>
    </row>
    <row r="154">
      <c r="A154" s="9" t="inlineStr">
        <is>
          <t xml:space="preserve">    Mini Pallet Band </t>
        </is>
      </c>
      <c r="B154" s="9" t="inlineStr">
        <is>
          <t>Satin print · Die Cut (Crest) · Hand Stripped · 240" rule</t>
        </is>
      </c>
      <c r="C154" s="9" t="n">
        <v>1000</v>
      </c>
      <c r="D154" s="9" t="n">
        <v>4884.44</v>
      </c>
      <c r="E154" s="9" t="n">
        <v>4.884</v>
      </c>
    </row>
    <row r="155">
      <c r="A155" s="9" t="inlineStr">
        <is>
          <t xml:space="preserve">    Mini Pallet Band</t>
        </is>
      </c>
      <c r="B155" s="9" t="inlineStr">
        <is>
          <t>Satin print · Die Cut (Crest) · Hand Stripped · 299" rule</t>
        </is>
      </c>
      <c r="C155" s="9" t="n">
        <v>700</v>
      </c>
      <c r="D155" s="9" t="n">
        <v>3596.67</v>
      </c>
      <c r="E155" s="9" t="n">
        <v>5.138</v>
      </c>
    </row>
    <row r="156">
      <c r="A156" s="10" t="inlineStr">
        <is>
          <t xml:space="preserve">    TOTAL @ qty 700/1000 kit</t>
        </is>
      </c>
      <c r="D156" s="10" t="n">
        <v>8481.110000000001</v>
      </c>
      <c r="F156" s="10" t="n">
        <v>9299.35</v>
      </c>
      <c r="G156" s="10" t="n">
        <v>-818.24</v>
      </c>
      <c r="H156" s="10" t="inlineStr">
        <is>
          <t>-8.8%</t>
        </is>
      </c>
      <c r="I156" s="12" t="inlineStr">
        <is>
          <t>PASS</t>
        </is>
      </c>
    </row>
    <row r="158">
      <c r="A158" s="8" t="inlineStr">
        <is>
          <t>Vitamix Power Prep Mixer digital reorder   —   SPOT RW-260722-090416  ·  iQuote #223590  ·  BECAME A JOB</t>
        </is>
      </c>
    </row>
    <row r="159">
      <c r="A159" s="9" t="inlineStr">
        <is>
          <t xml:space="preserve">    RSC</t>
        </is>
      </c>
      <c r="B159" s="9" t="inlineStr">
        <is>
          <t>Gloss print · CAD Cut · Hand Stripped · Glued (1 jt) · 410" rule</t>
        </is>
      </c>
      <c r="C159" s="9" t="n">
        <v>50</v>
      </c>
      <c r="D159" s="9" t="n">
        <v>1120.73</v>
      </c>
      <c r="E159" s="9" t="n">
        <v>22.415</v>
      </c>
    </row>
    <row r="160">
      <c r="A160" s="10" t="inlineStr">
        <is>
          <t xml:space="preserve">    TOTAL @ qty 50</t>
        </is>
      </c>
      <c r="D160" s="10" t="n">
        <v>1120.73</v>
      </c>
      <c r="F160" s="10" t="n">
        <v>724.2</v>
      </c>
      <c r="G160" s="10" t="n">
        <v>396.53</v>
      </c>
      <c r="H160" s="10" t="inlineStr">
        <is>
          <t>+54.8%</t>
        </is>
      </c>
      <c r="I160" s="11" t="inlineStr">
        <is>
          <t>FAIL</t>
        </is>
      </c>
    </row>
    <row r="162">
      <c r="A162" s="8" t="inlineStr">
        <is>
          <t>RW-260722-095152   —   SPOT RW-260722-095152  ·  iQuote #223575  ·  BECAME A JOB</t>
        </is>
      </c>
    </row>
    <row r="163">
      <c r="A163" s="9" t="inlineStr">
        <is>
          <t xml:space="preserve">    Display Header</t>
        </is>
      </c>
      <c r="B163" s="9" t="inlineStr">
        <is>
          <t>Satin print · CAD Cut · Hand Stripped · 69" rule</t>
        </is>
      </c>
      <c r="C163" s="9" t="n">
        <v>500</v>
      </c>
      <c r="D163" s="9" t="n">
        <v>1288.67</v>
      </c>
      <c r="E163" s="9" t="n">
        <v>2.577</v>
      </c>
    </row>
    <row r="164">
      <c r="A164" s="10" t="inlineStr">
        <is>
          <t xml:space="preserve">    TOTAL @ qty 500</t>
        </is>
      </c>
      <c r="D164" s="10" t="n">
        <v>1288.67</v>
      </c>
      <c r="F164" s="10" t="n">
        <v>985.09</v>
      </c>
      <c r="G164" s="10" t="n">
        <v>303.58</v>
      </c>
      <c r="H164" s="10" t="inlineStr">
        <is>
          <t>+30.8%</t>
        </is>
      </c>
      <c r="I164" s="11" t="inlineStr">
        <is>
          <t>FAIL</t>
        </is>
      </c>
    </row>
    <row r="166">
      <c r="A166" s="8" t="inlineStr">
        <is>
          <t>Concept 100 Valentines Day Display   —   SPOT RW-260723-084853  ·  iQuote #223791   [OUTLIER — see detailed workbook]</t>
        </is>
      </c>
    </row>
    <row r="167">
      <c r="A167" s="9" t="inlineStr">
        <is>
          <t xml:space="preserve">    Back Panel</t>
        </is>
      </c>
      <c r="B167" s="9" t="inlineStr">
        <is>
          <t>Gloss print · CAD Cut · Hand Stripped · 637" rule</t>
        </is>
      </c>
      <c r="C167" s="9" t="n">
        <v>15</v>
      </c>
      <c r="D167" s="9" t="n">
        <v>944.3200000000001</v>
      </c>
      <c r="E167" s="9" t="n">
        <v>62.955</v>
      </c>
    </row>
    <row r="168">
      <c r="A168" s="9" t="inlineStr">
        <is>
          <t xml:space="preserve">    Side Panel</t>
        </is>
      </c>
      <c r="B168" s="9" t="inlineStr">
        <is>
          <t>Gloss print · CAD Cut · Hand Stripped · 941" rule</t>
        </is>
      </c>
      <c r="C168" s="9" t="n">
        <v>15</v>
      </c>
      <c r="D168" s="9" t="n">
        <v>836.3099999999999</v>
      </c>
      <c r="E168" s="9" t="n">
        <v>55.754</v>
      </c>
    </row>
    <row r="169">
      <c r="A169" s="9" t="inlineStr">
        <is>
          <t xml:space="preserve">    Angled Side Panel</t>
        </is>
      </c>
      <c r="B169" s="9" t="inlineStr">
        <is>
          <t>Gloss print · CAD Cut · Hand Stripped · 985" rule</t>
        </is>
      </c>
      <c r="C169" s="9" t="n">
        <v>15</v>
      </c>
      <c r="D169" s="9" t="n">
        <v>845.26</v>
      </c>
      <c r="E169" s="9" t="n">
        <v>56.351</v>
      </c>
    </row>
    <row r="170">
      <c r="A170" s="9" t="inlineStr">
        <is>
          <t xml:space="preserve">    Heart Middle Side 1</t>
        </is>
      </c>
      <c r="B170" s="9" t="inlineStr">
        <is>
          <t>Gloss print · CAD Cut · Hand Stripped · 491" rule</t>
        </is>
      </c>
      <c r="C170" s="9" t="n">
        <v>15</v>
      </c>
      <c r="D170" s="9" t="n">
        <v>938.51</v>
      </c>
      <c r="E170" s="9" t="n">
        <v>62.567</v>
      </c>
    </row>
    <row r="171">
      <c r="A171" s="9" t="inlineStr">
        <is>
          <t xml:space="preserve">    Heart Middle Side 2</t>
        </is>
      </c>
      <c r="B171" s="9" t="inlineStr">
        <is>
          <t>Gloss print · CAD Cut · Hand Stripped · 493" rule</t>
        </is>
      </c>
      <c r="C171" s="9" t="n">
        <v>15</v>
      </c>
      <c r="D171" s="9" t="n">
        <v>938.76</v>
      </c>
      <c r="E171" s="9" t="n">
        <v>62.584</v>
      </c>
    </row>
    <row r="172">
      <c r="A172" s="9" t="inlineStr">
        <is>
          <t xml:space="preserve">    Shelf 1, 4 &amp; Big Heart Lug</t>
        </is>
      </c>
      <c r="B172" s="9" t="inlineStr">
        <is>
          <t>Gloss print · CAD Cut · Hand Stripped · 650" rule</t>
        </is>
      </c>
      <c r="C172" s="9" t="n">
        <v>15</v>
      </c>
      <c r="D172" s="9" t="n">
        <v>972.8099999999999</v>
      </c>
      <c r="E172" s="9" t="n">
        <v>64.854</v>
      </c>
    </row>
    <row r="173">
      <c r="A173" s="9" t="inlineStr">
        <is>
          <t xml:space="preserve">    Shelves 3 &amp; 2</t>
        </is>
      </c>
      <c r="B173" s="9" t="inlineStr">
        <is>
          <t>Gloss print · CAD Cut · Hand Stripped · 500" rule</t>
        </is>
      </c>
      <c r="C173" s="9" t="n">
        <v>15</v>
      </c>
      <c r="D173" s="9" t="n">
        <v>774.77</v>
      </c>
      <c r="E173" s="9" t="n">
        <v>51.651</v>
      </c>
    </row>
    <row r="174">
      <c r="A174" s="9" t="inlineStr">
        <is>
          <t xml:space="preserve">    Roll Up 1 &amp; 2</t>
        </is>
      </c>
      <c r="B174" s="9" t="inlineStr">
        <is>
          <t>Gloss print · CAD Cut · Hand Stripped · 687" rule</t>
        </is>
      </c>
      <c r="C174" s="9" t="n">
        <v>15</v>
      </c>
      <c r="D174" s="9" t="n">
        <v>798.4299999999999</v>
      </c>
      <c r="E174" s="9" t="n">
        <v>53.229</v>
      </c>
    </row>
    <row r="175">
      <c r="A175" s="9" t="inlineStr">
        <is>
          <t xml:space="preserve">    Bottom Shelf Eggcrate &amp; 4th Roll Up</t>
        </is>
      </c>
      <c r="B175" s="9" t="inlineStr">
        <is>
          <t>Gloss print · Saber + D/C · Hand Stripped · 750" rule</t>
        </is>
      </c>
      <c r="C175" s="9" t="n">
        <v>15</v>
      </c>
      <c r="D175" s="9" t="n">
        <v>7839.9</v>
      </c>
      <c r="E175" s="9" t="n">
        <v>522.66</v>
      </c>
    </row>
    <row r="176">
      <c r="A176" s="10" t="inlineStr">
        <is>
          <t xml:space="preserve">    TOTAL @ qty 15</t>
        </is>
      </c>
      <c r="D176" s="10" t="n">
        <v>14889.07</v>
      </c>
      <c r="F176" s="10" t="n">
        <v>5653.51</v>
      </c>
      <c r="G176" s="10" t="n">
        <v>9235.559999999999</v>
      </c>
      <c r="H176" s="10" t="inlineStr">
        <is>
          <t>+163.4%</t>
        </is>
      </c>
      <c r="I176" s="11" t="inlineStr">
        <is>
          <t>FAIL</t>
        </is>
      </c>
    </row>
    <row r="178">
      <c r="A178" s="8" t="inlineStr">
        <is>
          <t>Concept 100 Valentines Day Display   —   SPOT RW-260723-084853  ·  iQuote #223791   [OUTLIER — see detailed workbook]</t>
        </is>
      </c>
    </row>
    <row r="179">
      <c r="A179" s="9" t="inlineStr">
        <is>
          <t xml:space="preserve">    Back Panel</t>
        </is>
      </c>
      <c r="B179" s="9" t="inlineStr">
        <is>
          <t>Gloss print · CAD Cut · Hand Stripped · 637" rule</t>
        </is>
      </c>
      <c r="C179" s="9" t="n">
        <v>8</v>
      </c>
      <c r="D179" s="9" t="n">
        <v>714.33</v>
      </c>
      <c r="E179" s="9" t="n">
        <v>89.291</v>
      </c>
    </row>
    <row r="180">
      <c r="A180" s="9" t="inlineStr">
        <is>
          <t xml:space="preserve">    Side Panel</t>
        </is>
      </c>
      <c r="B180" s="9" t="inlineStr">
        <is>
          <t>Gloss print · CAD Cut · Hand Stripped · 941" rule</t>
        </is>
      </c>
      <c r="C180" s="9" t="n">
        <v>8</v>
      </c>
      <c r="D180" s="9" t="n">
        <v>611.73</v>
      </c>
      <c r="E180" s="9" t="n">
        <v>76.46599999999999</v>
      </c>
    </row>
    <row r="181">
      <c r="A181" s="9" t="inlineStr">
        <is>
          <t xml:space="preserve">    Angled Side Panel</t>
        </is>
      </c>
      <c r="B181" s="9" t="inlineStr">
        <is>
          <t>Gloss print · CAD Cut · Hand Stripped · 985" rule</t>
        </is>
      </c>
      <c r="C181" s="9" t="n">
        <v>8</v>
      </c>
      <c r="D181" s="9" t="n">
        <v>618.16</v>
      </c>
      <c r="E181" s="9" t="n">
        <v>77.27</v>
      </c>
    </row>
    <row r="182">
      <c r="A182" s="9" t="inlineStr">
        <is>
          <t xml:space="preserve">    Heart Middle Side 1</t>
        </is>
      </c>
      <c r="B182" s="9" t="inlineStr">
        <is>
          <t>Gloss print · CAD Cut · Hand Stripped · 491" rule</t>
        </is>
      </c>
      <c r="C182" s="9" t="n">
        <v>8</v>
      </c>
      <c r="D182" s="9" t="n">
        <v>690.3200000000001</v>
      </c>
      <c r="E182" s="9" t="n">
        <v>86.29000000000001</v>
      </c>
    </row>
    <row r="183">
      <c r="A183" s="9" t="inlineStr">
        <is>
          <t xml:space="preserve">    Heart Middle Side 2</t>
        </is>
      </c>
      <c r="B183" s="9" t="inlineStr">
        <is>
          <t>Gloss print · CAD Cut · Hand Stripped · 493" rule</t>
        </is>
      </c>
      <c r="C183" s="9" t="n">
        <v>8</v>
      </c>
      <c r="D183" s="9" t="n">
        <v>690.45</v>
      </c>
      <c r="E183" s="9" t="n">
        <v>86.306</v>
      </c>
    </row>
    <row r="184">
      <c r="A184" s="9" t="inlineStr">
        <is>
          <t xml:space="preserve">    Shelf 1, 4 &amp; Big Heart Lug</t>
        </is>
      </c>
      <c r="B184" s="9" t="inlineStr">
        <is>
          <t>Gloss print · CAD Cut · Hand Stripped · 650" rule</t>
        </is>
      </c>
      <c r="C184" s="9" t="n">
        <v>8</v>
      </c>
      <c r="D184" s="9" t="n">
        <v>715.5</v>
      </c>
      <c r="E184" s="9" t="n">
        <v>89.438</v>
      </c>
    </row>
    <row r="185">
      <c r="A185" s="9" t="inlineStr">
        <is>
          <t xml:space="preserve">    Shelves 3 &amp; 2</t>
        </is>
      </c>
      <c r="B185" s="9" t="inlineStr">
        <is>
          <t>Gloss print · CAD Cut · Hand Stripped · 500" rule</t>
        </is>
      </c>
      <c r="C185" s="9" t="n">
        <v>8</v>
      </c>
      <c r="D185" s="9" t="n">
        <v>575.34</v>
      </c>
      <c r="E185" s="9" t="n">
        <v>71.91800000000001</v>
      </c>
    </row>
    <row r="186">
      <c r="A186" s="9" t="inlineStr">
        <is>
          <t xml:space="preserve">    Roll Up 1 &amp; 2</t>
        </is>
      </c>
      <c r="B186" s="9" t="inlineStr">
        <is>
          <t>Gloss print · CAD Cut · Hand Stripped · 687" rule</t>
        </is>
      </c>
      <c r="C186" s="9" t="n">
        <v>8</v>
      </c>
      <c r="D186" s="9" t="n">
        <v>588.34</v>
      </c>
      <c r="E186" s="9" t="n">
        <v>73.54300000000001</v>
      </c>
    </row>
    <row r="187">
      <c r="A187" s="9" t="inlineStr">
        <is>
          <t xml:space="preserve">    Bottom Shelf Eggcrate &amp; 4th Roll Up</t>
        </is>
      </c>
      <c r="B187" s="9" t="inlineStr">
        <is>
          <t>Gloss print · Saber + D/C · Hand Stripped · 750" rule</t>
        </is>
      </c>
      <c r="C187" s="9" t="n">
        <v>8</v>
      </c>
      <c r="D187" s="9" t="n">
        <v>9569.75</v>
      </c>
      <c r="E187" s="9" t="n">
        <v>1196.219</v>
      </c>
    </row>
    <row r="188">
      <c r="A188" s="10" t="inlineStr">
        <is>
          <t xml:space="preserve">    TOTAL @ qty 8</t>
        </is>
      </c>
      <c r="D188" s="10" t="n">
        <v>14773.92</v>
      </c>
      <c r="F188" s="10" t="n">
        <v>4461.64</v>
      </c>
      <c r="G188" s="10" t="n">
        <v>10312.28</v>
      </c>
      <c r="H188" s="10" t="inlineStr">
        <is>
          <t>+231.1%</t>
        </is>
      </c>
      <c r="I188" s="11" t="inlineStr">
        <is>
          <t>FAIL</t>
        </is>
      </c>
    </row>
    <row r="190">
      <c r="A190" s="8" t="inlineStr">
        <is>
          <t>0904-219 Center Joint   —   SPOT RW-260724-113737  ·  iQuote #223651  ·  BECAME A JOB</t>
        </is>
      </c>
    </row>
    <row r="191">
      <c r="A191" s="9" t="inlineStr">
        <is>
          <t xml:space="preserve">    D/C Joined</t>
        </is>
      </c>
      <c r="B191" s="9" t="inlineStr">
        <is>
          <t>No print · CAD Cut · Hand Stripped · 123" rule</t>
        </is>
      </c>
      <c r="C191" s="9" t="n">
        <v>22</v>
      </c>
      <c r="D191" s="9" t="n">
        <v>132.39</v>
      </c>
      <c r="E191" s="9" t="n">
        <v>6.018</v>
      </c>
    </row>
    <row r="192">
      <c r="A192" s="10" t="inlineStr">
        <is>
          <t xml:space="preserve">    TOTAL @ qty 22</t>
        </is>
      </c>
      <c r="D192" s="10" t="n">
        <v>132.39</v>
      </c>
      <c r="F192" s="10" t="n">
        <v>130.54</v>
      </c>
      <c r="G192" s="10" t="n">
        <v>1.85</v>
      </c>
      <c r="H192" s="10" t="inlineStr">
        <is>
          <t>+1.4%</t>
        </is>
      </c>
      <c r="I192" s="12" t="inlineStr">
        <is>
          <t>PASS</t>
        </is>
      </c>
      <c r="J192" s="13" t="inlineStr">
        <is>
          <t>Job 237252: actual cost $164 → sold margin -15%</t>
        </is>
      </c>
    </row>
    <row r="194">
      <c r="A194" s="8" t="inlineStr">
        <is>
          <t>0904-219 Center Joint   —   SPOT RW-260724-113737  ·  iQuote #223651  ·  BECAME A JOB</t>
        </is>
      </c>
    </row>
    <row r="195">
      <c r="A195" s="9" t="inlineStr">
        <is>
          <t xml:space="preserve">    D/C Joined</t>
        </is>
      </c>
      <c r="B195" s="9" t="inlineStr">
        <is>
          <t>No print · CAD Cut · Hand Stripped · 123" rule</t>
        </is>
      </c>
      <c r="C195" s="9" t="n">
        <v>59</v>
      </c>
      <c r="D195" s="9" t="n">
        <v>194.89</v>
      </c>
      <c r="E195" s="9" t="n">
        <v>3.303</v>
      </c>
    </row>
    <row r="196">
      <c r="A196" s="10" t="inlineStr">
        <is>
          <t xml:space="preserve">    TOTAL @ qty 59</t>
        </is>
      </c>
      <c r="D196" s="10" t="n">
        <v>194.89</v>
      </c>
      <c r="F196" s="10" t="n">
        <v>157.17</v>
      </c>
      <c r="G196" s="10" t="n">
        <v>37.72</v>
      </c>
      <c r="H196" s="10" t="inlineStr">
        <is>
          <t>+24.0%</t>
        </is>
      </c>
      <c r="I196" s="11" t="inlineStr">
        <is>
          <t>FAIL</t>
        </is>
      </c>
    </row>
    <row r="198">
      <c r="A198" s="8" t="inlineStr">
        <is>
          <t>Mala Girl 3 Pak PDQ   —   SPOT RW-260724-153643  ·  iQuote #223851</t>
        </is>
      </c>
    </row>
    <row r="199">
      <c r="A199" s="9" t="inlineStr">
        <is>
          <t xml:space="preserve">    Tray</t>
        </is>
      </c>
      <c r="B199" s="9" t="inlineStr">
        <is>
          <t>Gloss print · CAD Cut · Hand Stripped · 412" rule</t>
        </is>
      </c>
      <c r="C199" s="9" t="n">
        <v>25</v>
      </c>
      <c r="D199" s="9" t="n">
        <v>1065.44</v>
      </c>
      <c r="E199" s="9" t="n">
        <v>42.618</v>
      </c>
    </row>
    <row r="200">
      <c r="A200" s="9" t="inlineStr">
        <is>
          <t xml:space="preserve">    Platform Dividers Combo</t>
        </is>
      </c>
      <c r="B200" s="9" t="inlineStr">
        <is>
          <t>Satin print · CAD Cut · Hand Stripped · 392" rule</t>
        </is>
      </c>
      <c r="C200" s="9" t="n">
        <v>25</v>
      </c>
      <c r="D200" s="9" t="n">
        <v>840.46</v>
      </c>
      <c r="E200" s="9" t="n">
        <v>33.618</v>
      </c>
    </row>
    <row r="201">
      <c r="A201" s="10" t="inlineStr">
        <is>
          <t xml:space="preserve">    TOTAL @ qty 25</t>
        </is>
      </c>
      <c r="D201" s="10" t="n">
        <v>1905.9</v>
      </c>
      <c r="F201" s="10" t="n">
        <v>1079.65</v>
      </c>
      <c r="G201" s="10" t="n">
        <v>826.25</v>
      </c>
      <c r="H201" s="10" t="inlineStr">
        <is>
          <t>+76.5%</t>
        </is>
      </c>
      <c r="I201" s="11" t="inlineStr">
        <is>
          <t>FAIL</t>
        </is>
      </c>
    </row>
    <row r="203">
      <c r="A203" s="8" t="inlineStr">
        <is>
          <t>ACE HARDWARE 42 GAL TRASH BIN (REV)   —   SPOT RW-260727-080830  ·  iQuote #223209  ·  BECAME A JOB</t>
        </is>
      </c>
    </row>
    <row r="204">
      <c r="A204" s="9" t="inlineStr">
        <is>
          <t xml:space="preserve">    RSC</t>
        </is>
      </c>
      <c r="B204" s="9" t="inlineStr">
        <is>
          <t>Satin print · CAD Cut · Hand Stripped · Glued (1 jt)</t>
        </is>
      </c>
      <c r="C204" s="9" t="n">
        <v>1</v>
      </c>
      <c r="D204" s="9" t="n">
        <v>453.63</v>
      </c>
      <c r="E204" s="9" t="n">
        <v>453.63</v>
      </c>
    </row>
    <row r="205">
      <c r="A205" s="10" t="inlineStr">
        <is>
          <t xml:space="preserve">    TOTAL @ qty 1</t>
        </is>
      </c>
      <c r="D205" s="10" t="n">
        <v>453.63</v>
      </c>
      <c r="F205" s="10" t="n">
        <v>241.9</v>
      </c>
      <c r="G205" s="10" t="n">
        <v>211.73</v>
      </c>
      <c r="H205" s="10" t="inlineStr">
        <is>
          <t>+87.5%</t>
        </is>
      </c>
      <c r="I205" s="11" t="inlineStr">
        <is>
          <t>FAIL</t>
        </is>
      </c>
      <c r="J205" s="16" t="inlineStr">
        <is>
          <t>Job 236355: actual cost $194 → sold margin +20%</t>
        </is>
      </c>
    </row>
    <row r="207">
      <c r="A207" s="8" t="inlineStr">
        <is>
          <t>Power Prep Mixer 01.27.2025   —   SPOT RW-260727-090826  ·  iQuote #223590  ·  BECAME A JOB</t>
        </is>
      </c>
    </row>
    <row r="208">
      <c r="A208" s="9" t="inlineStr">
        <is>
          <t xml:space="preserve">    RSC</t>
        </is>
      </c>
      <c r="B208" s="9" t="inlineStr">
        <is>
          <t>Gloss print · CAD Cut · Hand Stripped · Glued (1 jt) · 410" rule</t>
        </is>
      </c>
      <c r="C208" s="9" t="n">
        <v>100</v>
      </c>
      <c r="D208" s="9" t="n">
        <v>1361.8</v>
      </c>
      <c r="E208" s="9" t="n">
        <v>13.618</v>
      </c>
    </row>
    <row r="209">
      <c r="A209" s="10" t="inlineStr">
        <is>
          <t xml:space="preserve">    TOTAL @ qty 100</t>
        </is>
      </c>
      <c r="D209" s="10" t="n">
        <v>1361.8</v>
      </c>
      <c r="F209" s="10" t="n">
        <v>1230.77</v>
      </c>
      <c r="G209" s="10" t="n">
        <v>131.03</v>
      </c>
      <c r="H209" s="10" t="inlineStr">
        <is>
          <t>+10.6%</t>
        </is>
      </c>
      <c r="I209" s="15" t="inlineStr">
        <is>
          <t>REVIEW</t>
        </is>
      </c>
    </row>
    <row r="211">
      <c r="A211" s="8" t="inlineStr">
        <is>
          <t>Power Prep Mixer 01.27.2025   —   SPOT RW-260727-090826  ·  iQuote #223590  ·  BECAME A JOB</t>
        </is>
      </c>
    </row>
    <row r="212">
      <c r="A212" s="9" t="inlineStr">
        <is>
          <t xml:space="preserve">    RSC</t>
        </is>
      </c>
      <c r="B212" s="9" t="inlineStr">
        <is>
          <t>Gloss print · CAD Cut · Hand Stripped · Glued (1 jt) · 410" rule</t>
        </is>
      </c>
      <c r="C212" s="9" t="n">
        <v>50</v>
      </c>
      <c r="D212" s="9" t="n">
        <v>1050.73</v>
      </c>
      <c r="E212" s="9" t="n">
        <v>21.015</v>
      </c>
    </row>
    <row r="213">
      <c r="A213" s="10" t="inlineStr">
        <is>
          <t xml:space="preserve">    TOTAL @ qty 50</t>
        </is>
      </c>
      <c r="D213" s="10" t="n">
        <v>1050.73</v>
      </c>
      <c r="F213" s="10" t="n">
        <v>724.2</v>
      </c>
      <c r="G213" s="10" t="n">
        <v>326.53</v>
      </c>
      <c r="H213" s="10" t="inlineStr">
        <is>
          <t>+45.1%</t>
        </is>
      </c>
      <c r="I213" s="11" t="inlineStr">
        <is>
          <t>FAIL</t>
        </is>
      </c>
    </row>
    <row r="215">
      <c r="A215" s="8" t="inlineStr">
        <is>
          <t>Natures Bounty Tray &amp; Graphic Block - J58302   —   SPOT RW-260727-093930  ·  iQuote #223538  ·  BECAME A JOB</t>
        </is>
      </c>
    </row>
    <row r="216">
      <c r="A216" s="9" t="inlineStr">
        <is>
          <t xml:space="preserve">    PDQ Tray</t>
        </is>
      </c>
      <c r="B216" s="9" t="inlineStr">
        <is>
          <t>Satin print · CAD Cut · Hand Stripped · 495" rule</t>
        </is>
      </c>
      <c r="C216" s="9" t="n">
        <v>350</v>
      </c>
      <c r="D216" s="9" t="n">
        <v>3776.74</v>
      </c>
      <c r="E216" s="9" t="n">
        <v>10.791</v>
      </c>
    </row>
    <row r="217">
      <c r="A217" s="9" t="inlineStr">
        <is>
          <t xml:space="preserve">    Graphic Block</t>
        </is>
      </c>
      <c r="B217" s="9" t="inlineStr">
        <is>
          <t>Satin print · CAD Cut · 253" rule</t>
        </is>
      </c>
      <c r="C217" s="9" t="n">
        <v>350</v>
      </c>
      <c r="D217" s="9" t="n">
        <v>2815.08</v>
      </c>
      <c r="E217" s="9" t="n">
        <v>8.042999999999999</v>
      </c>
    </row>
    <row r="218">
      <c r="A218" s="10" t="inlineStr">
        <is>
          <t xml:space="preserve">    TOTAL @ qty 350</t>
        </is>
      </c>
      <c r="D218" s="10" t="n">
        <v>6591.82</v>
      </c>
      <c r="F218" s="10" t="n">
        <v>6766.74</v>
      </c>
      <c r="G218" s="10" t="n">
        <v>-174.92</v>
      </c>
      <c r="H218" s="10" t="inlineStr">
        <is>
          <t>-2.6%</t>
        </is>
      </c>
      <c r="I218" s="12" t="inlineStr">
        <is>
          <t>PASS</t>
        </is>
      </c>
    </row>
    <row r="220">
      <c r="A220" s="8" t="inlineStr">
        <is>
          <t>Z109871-1 / Mettler-Toledo   —   SPOT RW-260727-095102  ·  iQuote #223486  ·  BECAME A JOB</t>
        </is>
      </c>
    </row>
    <row r="221">
      <c r="A221" s="9" t="inlineStr">
        <is>
          <t xml:space="preserve">    D/C Joined</t>
        </is>
      </c>
      <c r="B221" s="9" t="inlineStr">
        <is>
          <t>No print · CAD Cut · Hand Stripped · 196" rule</t>
        </is>
      </c>
      <c r="C221" s="9" t="n">
        <v>50</v>
      </c>
      <c r="D221" s="9" t="n">
        <v>255.63</v>
      </c>
      <c r="E221" s="9" t="n">
        <v>5.113</v>
      </c>
    </row>
    <row r="222">
      <c r="A222" s="10" t="inlineStr">
        <is>
          <t xml:space="preserve">    TOTAL @ qty 50</t>
        </is>
      </c>
      <c r="D222" s="10" t="n">
        <v>255.63</v>
      </c>
      <c r="F222" s="10" t="n">
        <v>248.28</v>
      </c>
      <c r="G222" s="10" t="n">
        <v>7.35</v>
      </c>
      <c r="H222" s="10" t="inlineStr">
        <is>
          <t>+3.0%</t>
        </is>
      </c>
      <c r="I222" s="12" t="inlineStr">
        <is>
          <t>PASS</t>
        </is>
      </c>
      <c r="J222" s="16" t="inlineStr">
        <is>
          <t>Job 236688: actual cost $207 → sold margin +17%</t>
        </is>
      </c>
    </row>
    <row r="224">
      <c r="A224" s="8" t="inlineStr">
        <is>
          <t>8FT LED Tubes / 95053687   —   SPOT RW-260727-101129  ·  iQuote #223454  ·  BECAME A JOB</t>
        </is>
      </c>
    </row>
    <row r="225">
      <c r="A225" s="9" t="inlineStr">
        <is>
          <t xml:space="preserve">    5PF</t>
        </is>
      </c>
      <c r="B225" s="9" t="inlineStr">
        <is>
          <t>Satin print · Die Cut (Crest) · Hand Stripped · Glued (1 jt) · 914" rule</t>
        </is>
      </c>
      <c r="C225" s="9" t="n">
        <v>220</v>
      </c>
      <c r="D225" s="9" t="n">
        <v>5824.4</v>
      </c>
      <c r="E225" s="9" t="n">
        <v>26.475</v>
      </c>
    </row>
    <row r="226">
      <c r="A226" s="10" t="inlineStr">
        <is>
          <t xml:space="preserve">    TOTAL @ qty 220</t>
        </is>
      </c>
      <c r="D226" s="10" t="n">
        <v>5824.4</v>
      </c>
      <c r="F226" s="10" t="n">
        <v>6164.32</v>
      </c>
      <c r="G226" s="10" t="n">
        <v>-339.92</v>
      </c>
      <c r="H226" s="10" t="inlineStr">
        <is>
          <t>-5.5%</t>
        </is>
      </c>
      <c r="I226" s="12" t="inlineStr">
        <is>
          <t>PASS</t>
        </is>
      </c>
      <c r="J226" s="16" t="inlineStr">
        <is>
          <t>Job 236802: actual cost $4,859 → sold margin +21%</t>
        </is>
      </c>
    </row>
    <row r="228">
      <c r="A228" s="8" t="inlineStr">
        <is>
          <t>Whirlpool Press Sheet   —   SPOT RW-260727-102959  ·  iQuote #223393  ·  BECAME A JOB</t>
        </is>
      </c>
    </row>
    <row r="229">
      <c r="A229" s="9" t="inlineStr">
        <is>
          <t xml:space="preserve">    SC24-101</t>
        </is>
      </c>
      <c r="B229" s="9" t="inlineStr">
        <is>
          <t>Satin print · CAD Cut</t>
        </is>
      </c>
      <c r="C229" s="9" t="n">
        <v>230</v>
      </c>
      <c r="D229" s="9" t="n">
        <v>1753.9</v>
      </c>
      <c r="E229" s="9" t="n">
        <v>7.626</v>
      </c>
    </row>
    <row r="230">
      <c r="A230" s="10" t="inlineStr">
        <is>
          <t xml:space="preserve">    TOTAL @ qty 230</t>
        </is>
      </c>
      <c r="D230" s="10" t="n">
        <v>1753.9</v>
      </c>
      <c r="F230" s="10" t="n">
        <v>1387.27</v>
      </c>
      <c r="G230" s="10" t="n">
        <v>366.63</v>
      </c>
      <c r="H230" s="10" t="inlineStr">
        <is>
          <t>+26.4%</t>
        </is>
      </c>
      <c r="I230" s="11" t="inlineStr">
        <is>
          <t>FAIL</t>
        </is>
      </c>
      <c r="J230" s="13" t="inlineStr">
        <is>
          <t>Job 236550: actual cost $1,631 → sold margin -18%</t>
        </is>
      </c>
    </row>
    <row r="232">
      <c r="A232" s="8" t="inlineStr">
        <is>
          <t>MPC - Meijer Iams   —   SPOT RW-260727-105300  ·  iQuote #223376  ·  BECAME A JOB</t>
        </is>
      </c>
    </row>
    <row r="233">
      <c r="A233" s="9" t="inlineStr">
        <is>
          <t xml:space="preserve">    D26-0126 Header</t>
        </is>
      </c>
      <c r="B233" s="9" t="inlineStr">
        <is>
          <t>Gloss print · CAD Cut · 254" rule</t>
        </is>
      </c>
      <c r="C233" s="9" t="n">
        <v>75</v>
      </c>
      <c r="D233" s="9" t="n">
        <v>1444.15</v>
      </c>
      <c r="E233" s="9" t="n">
        <v>19.255</v>
      </c>
    </row>
    <row r="234">
      <c r="A234" s="9" t="inlineStr">
        <is>
          <t xml:space="preserve">    D26-0131 Graphic Panel</t>
        </is>
      </c>
      <c r="B234" s="9" t="inlineStr">
        <is>
          <t>Satin print · CAD Cut</t>
        </is>
      </c>
      <c r="C234" s="9" t="n">
        <v>150</v>
      </c>
      <c r="D234" s="9" t="n">
        <v>2353.88</v>
      </c>
      <c r="E234" s="9" t="n">
        <v>15.693</v>
      </c>
    </row>
    <row r="235">
      <c r="A235" s="10" t="inlineStr">
        <is>
          <t xml:space="preserve">    TOTAL @ qty 75/150 kit</t>
        </is>
      </c>
      <c r="D235" s="10" t="n">
        <v>3798.03</v>
      </c>
      <c r="F235" s="10" t="n">
        <v>3134.12</v>
      </c>
      <c r="G235" s="10" t="n">
        <v>663.91</v>
      </c>
      <c r="H235" s="10" t="inlineStr">
        <is>
          <t>+21.2%</t>
        </is>
      </c>
      <c r="I235" s="11" t="inlineStr">
        <is>
          <t>FAIL</t>
        </is>
      </c>
    </row>
    <row r="237">
      <c r="A237" s="8" t="inlineStr">
        <is>
          <t>ICM Distributing Company Header   —   SPOT RW-260727-144121  ·  iQuote #223575  ·  BECAME A JOB</t>
        </is>
      </c>
    </row>
    <row r="238">
      <c r="A238" s="9" t="inlineStr">
        <is>
          <t xml:space="preserve">    Display Header</t>
        </is>
      </c>
      <c r="B238" s="9" t="inlineStr">
        <is>
          <t>Satin print · CAD Cut · 69" rule</t>
        </is>
      </c>
      <c r="C238" s="9" t="n">
        <v>500</v>
      </c>
      <c r="D238" s="9" t="n">
        <v>1259.41</v>
      </c>
      <c r="E238" s="9" t="n">
        <v>2.519</v>
      </c>
    </row>
    <row r="239">
      <c r="A239" s="10" t="inlineStr">
        <is>
          <t xml:space="preserve">    TOTAL @ qty 500</t>
        </is>
      </c>
      <c r="D239" s="10" t="n">
        <v>1259.41</v>
      </c>
      <c r="F239" s="10" t="n">
        <v>985.09</v>
      </c>
      <c r="G239" s="10" t="n">
        <v>274.32</v>
      </c>
      <c r="H239" s="10" t="inlineStr">
        <is>
          <t>+27.8%</t>
        </is>
      </c>
      <c r="I239" s="11" t="inlineStr">
        <is>
          <t>FAIL</t>
        </is>
      </c>
      <c r="J239" s="16" t="inlineStr">
        <is>
          <t>Job 236822: actual cost $926 → sold margin +6%</t>
        </is>
      </c>
    </row>
    <row r="241">
      <c r="A241" s="8" t="inlineStr">
        <is>
          <t>L'Oreal C15 LP COS ZUS01644 Inserts   —   SPOT RW-260730-115948  ·  iQuote #223880  ·  BECAME A JOB</t>
        </is>
      </c>
    </row>
    <row r="242">
      <c r="A242" s="9" t="inlineStr">
        <is>
          <t xml:space="preserve">    Sheet Scored</t>
        </is>
      </c>
      <c r="B242" s="9" t="inlineStr">
        <is>
          <t>No print · CAD Cut · 19" rule</t>
        </is>
      </c>
      <c r="C242" s="9" t="n">
        <v>22000</v>
      </c>
      <c r="D242" s="9" t="n">
        <v>3416.08</v>
      </c>
      <c r="E242" s="9" t="n">
        <v>0.155</v>
      </c>
    </row>
    <row r="243">
      <c r="A243" s="10" t="inlineStr">
        <is>
          <t xml:space="preserve">    TOTAL @ qty 22000</t>
        </is>
      </c>
      <c r="D243" s="10" t="n">
        <v>3416.08</v>
      </c>
      <c r="F243" s="10" t="n">
        <v>2279.73</v>
      </c>
      <c r="G243" s="10" t="n">
        <v>1136.35</v>
      </c>
      <c r="H243" s="10" t="inlineStr">
        <is>
          <t>+49.8%</t>
        </is>
      </c>
      <c r="I243" s="11" t="inlineStr">
        <is>
          <t>FAIL</t>
        </is>
      </c>
    </row>
    <row r="245">
      <c r="A245" s="8" t="inlineStr">
        <is>
          <t>Cento Authentic Italian Header   —   SPOT RW-260730-153734  ·  iQuote #223837  ·  BECAME A JOB</t>
        </is>
      </c>
    </row>
    <row r="246">
      <c r="A246" s="9" t="inlineStr">
        <is>
          <t xml:space="preserve">    Display Header</t>
        </is>
      </c>
      <c r="B246" s="9" t="inlineStr">
        <is>
          <t>Gloss print · CAD Cut</t>
        </is>
      </c>
      <c r="C246" s="9" t="n">
        <v>500</v>
      </c>
      <c r="D246" s="9" t="n">
        <v>1668.47</v>
      </c>
      <c r="E246" s="9" t="n">
        <v>3.337</v>
      </c>
    </row>
    <row r="247">
      <c r="A247" s="10" t="inlineStr">
        <is>
          <t xml:space="preserve">    TOTAL @ qty 500</t>
        </is>
      </c>
      <c r="D247" s="10" t="n">
        <v>1668.47</v>
      </c>
      <c r="F247" s="10" t="n">
        <v>1221.28</v>
      </c>
      <c r="G247" s="10" t="n">
        <v>447.19</v>
      </c>
      <c r="H247" s="10" t="inlineStr">
        <is>
          <t>+36.6%</t>
        </is>
      </c>
      <c r="I247" s="11" t="inlineStr">
        <is>
          <t>FAIL</t>
        </is>
      </c>
    </row>
    <row r="249">
      <c r="A249" s="8" t="inlineStr">
        <is>
          <t>Case# 00011159 - REVISED - Targeted Pet Treats Shelf Display   —   SPOT RW-260730-154720  ·  iQuote #223784  ·  BECAME A JOB</t>
        </is>
      </c>
    </row>
    <row r="250">
      <c r="A250" s="9" t="inlineStr">
        <is>
          <t xml:space="preserve">    Shelf Display Box — Blue (MRO42966 RevA)</t>
        </is>
      </c>
      <c r="B250" s="9" t="inlineStr">
        <is>
          <t>Gloss print · CAD Cut · Glued (1 jt) · 318" rule</t>
        </is>
      </c>
      <c r="C250" s="9" t="n">
        <v>1</v>
      </c>
      <c r="D250" s="9" t="n">
        <v>438.44</v>
      </c>
      <c r="E250" s="9" t="n">
        <v>438.44</v>
      </c>
    </row>
    <row r="251">
      <c r="A251" s="9" t="inlineStr">
        <is>
          <t xml:space="preserve">    Shelf Display Box — Peach (MRO42966 RevA)</t>
        </is>
      </c>
      <c r="B251" s="9" t="inlineStr">
        <is>
          <t>Gloss print · CAD Cut · Glued (1 jt) · 318" rule</t>
        </is>
      </c>
      <c r="C251" s="9" t="n">
        <v>1</v>
      </c>
      <c r="D251" s="9" t="n">
        <v>438.44</v>
      </c>
      <c r="E251" s="9" t="n">
        <v>438.44</v>
      </c>
    </row>
    <row r="252">
      <c r="A252" s="9" t="inlineStr">
        <is>
          <t xml:space="preserve">    Shelf Display Box — Yellow (MRO42966 RevA)</t>
        </is>
      </c>
      <c r="B252" s="9" t="inlineStr">
        <is>
          <t>Satin print · CAD Cut · Glued (1 jt) · 318" rule</t>
        </is>
      </c>
      <c r="C252" s="9" t="n">
        <v>1</v>
      </c>
      <c r="D252" s="9" t="n">
        <v>454.26</v>
      </c>
      <c r="E252" s="9" t="n">
        <v>454.26</v>
      </c>
    </row>
    <row r="253">
      <c r="A253" s="10" t="inlineStr">
        <is>
          <t xml:space="preserve">    TOTAL @ qty 1</t>
        </is>
      </c>
      <c r="D253" s="10" t="n">
        <v>1331.14</v>
      </c>
      <c r="F253" s="10" t="n">
        <v>906.92</v>
      </c>
      <c r="G253" s="10" t="n">
        <v>424.22</v>
      </c>
      <c r="H253" s="10" t="inlineStr">
        <is>
          <t>+46.8%</t>
        </is>
      </c>
      <c r="I253" s="11" t="inlineStr">
        <is>
          <t>FAIL</t>
        </is>
      </c>
    </row>
    <row r="255">
      <c r="A255" s="8" t="inlineStr">
        <is>
          <t>New Piston Kit   —   SPOT RW-260730-155412  ·  iQuote #223597  ·  BECAME A JOB</t>
        </is>
      </c>
    </row>
    <row r="256">
      <c r="A256" s="9" t="inlineStr">
        <is>
          <t xml:space="preserve">    Front Tuck w/ Partition</t>
        </is>
      </c>
      <c r="B256" s="9" t="inlineStr">
        <is>
          <t>Gloss print · CAD Cut · 422" rule</t>
        </is>
      </c>
      <c r="C256" s="9" t="n">
        <v>250</v>
      </c>
      <c r="D256" s="9" t="n">
        <v>3071.43</v>
      </c>
      <c r="E256" s="9" t="n">
        <v>12.286</v>
      </c>
    </row>
    <row r="257">
      <c r="A257" s="10" t="inlineStr">
        <is>
          <t xml:space="preserve">    TOTAL @ qty 250</t>
        </is>
      </c>
      <c r="D257" s="10" t="n">
        <v>3071.43</v>
      </c>
      <c r="F257" s="10" t="n">
        <v>2749.42</v>
      </c>
      <c r="G257" s="10" t="n">
        <v>322.01</v>
      </c>
      <c r="H257" s="10" t="inlineStr">
        <is>
          <t>+11.7%</t>
        </is>
      </c>
      <c r="I257" s="15" t="inlineStr">
        <is>
          <t>REVIEW</t>
        </is>
      </c>
      <c r="J257" s="16" t="inlineStr">
        <is>
          <t>Job 236869: actual cost $2,580 → sold margin +10%</t>
        </is>
      </c>
    </row>
  </sheetData>
  <mergeCells count="50">
    <mergeCell ref="A203:J203"/>
    <mergeCell ref="A5:J5"/>
    <mergeCell ref="A23:J23"/>
    <mergeCell ref="A194:J194"/>
    <mergeCell ref="A141:J141"/>
    <mergeCell ref="A224:J224"/>
    <mergeCell ref="A62:J62"/>
    <mergeCell ref="A215:J215"/>
    <mergeCell ref="A29:J29"/>
    <mergeCell ref="A190:J190"/>
    <mergeCell ref="A19:J19"/>
    <mergeCell ref="A44:J44"/>
    <mergeCell ref="A220:J220"/>
    <mergeCell ref="A58:J58"/>
    <mergeCell ref="A211:J211"/>
    <mergeCell ref="A249:J249"/>
    <mergeCell ref="A245:J245"/>
    <mergeCell ref="A34:J34"/>
    <mergeCell ref="A15:J15"/>
    <mergeCell ref="A166:J166"/>
    <mergeCell ref="A232:J232"/>
    <mergeCell ref="A207:J207"/>
    <mergeCell ref="A11:J11"/>
    <mergeCell ref="A178:J178"/>
    <mergeCell ref="A241:J241"/>
    <mergeCell ref="A123:J123"/>
    <mergeCell ref="A228:J228"/>
    <mergeCell ref="A70:J70"/>
    <mergeCell ref="A153:J153"/>
    <mergeCell ref="A162:J162"/>
    <mergeCell ref="A237:J237"/>
    <mergeCell ref="A54:J54"/>
    <mergeCell ref="A137:J137"/>
    <mergeCell ref="A128:J128"/>
    <mergeCell ref="A108:J108"/>
    <mergeCell ref="A66:J66"/>
    <mergeCell ref="A255:J255"/>
    <mergeCell ref="A99:J99"/>
    <mergeCell ref="A80:J80"/>
    <mergeCell ref="A118:J118"/>
    <mergeCell ref="A133:J133"/>
    <mergeCell ref="A89:J89"/>
    <mergeCell ref="A198:J198"/>
    <mergeCell ref="A149:J149"/>
    <mergeCell ref="A145:J145"/>
    <mergeCell ref="A158:J158"/>
    <mergeCell ref="A95:J95"/>
    <mergeCell ref="A113:J113"/>
    <mergeCell ref="A2:J2"/>
    <mergeCell ref="A104:J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</cols>
  <sheetData>
    <row r="1">
      <c r="A1" s="17" t="inlineStr">
        <is>
          <t>Price Comparison — 9 produced jobs</t>
        </is>
      </c>
    </row>
    <row r="3">
      <c r="A3" s="18" t="inlineStr">
        <is>
          <t>MIS Job</t>
        </is>
      </c>
      <c r="B3" s="18" t="inlineStr">
        <is>
          <t>Actual Invoice $</t>
        </is>
      </c>
      <c r="C3" s="18" t="inlineStr">
        <is>
          <t>iQuote Sell $</t>
        </is>
      </c>
      <c r="D3" s="18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1733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6164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236943</t>
        </is>
      </c>
      <c r="B10" t="n">
        <v>4353</v>
      </c>
      <c r="C10" t="n">
        <v>3695</v>
      </c>
      <c r="D10" t="n">
        <v>6774</v>
      </c>
    </row>
    <row r="11">
      <c r="A11" t="inlineStr">
        <is>
          <t>236869</t>
        </is>
      </c>
      <c r="B11" t="n">
        <v>2876</v>
      </c>
      <c r="C11" t="n">
        <v>2749</v>
      </c>
      <c r="D11" t="n">
        <v>3071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5">
      <c r="A15" s="18" t="inlineStr">
        <is>
          <t>Category</t>
        </is>
      </c>
      <c r="B15" s="18" t="inlineStr">
        <is>
          <t>Actual $</t>
        </is>
      </c>
      <c r="C15" s="18" t="inlineStr">
        <is>
          <t>SPOT est $</t>
        </is>
      </c>
      <c r="D15" s="18" t="inlineStr">
        <is>
          <t>iQuote est $</t>
        </is>
      </c>
    </row>
    <row r="16">
      <c r="A16" t="inlineStr">
        <is>
          <t>Material</t>
        </is>
      </c>
      <c r="B16" t="n">
        <v>2690</v>
      </c>
      <c r="C16" t="n">
        <v>2972</v>
      </c>
      <c r="D16" t="n">
        <v>2962</v>
      </c>
    </row>
    <row r="17">
      <c r="A17" t="inlineStr">
        <is>
          <t>Print</t>
        </is>
      </c>
      <c r="B17" t="n">
        <v>4541</v>
      </c>
      <c r="C17" t="n">
        <v>3916</v>
      </c>
      <c r="D17" t="n">
        <v>2310</v>
      </c>
    </row>
    <row r="18">
      <c r="A18" t="inlineStr">
        <is>
          <t>Cutting</t>
        </is>
      </c>
      <c r="B18" t="n">
        <v>3108</v>
      </c>
      <c r="C18" t="n">
        <v>1966</v>
      </c>
      <c r="D18" t="n">
        <v>1825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2026-07-31T15:25:20Z</dcterms:created>
  <dcterms:modified xmlns:dcterms="http://purl.org/dc/terms/" xmlns:xsi="http://www.w3.org/2001/XMLSchema-instance" xsi:type="dcterms:W3CDTF">2026-07-31T15:38:56Z</dcterms:modified>
</cp:coreProperties>
</file>