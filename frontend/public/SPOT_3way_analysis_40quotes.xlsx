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 3-Way" sheetId="1" state="visible" r:id="rId1"/>
    <sheet xmlns:r="http://schemas.openxmlformats.org/officeDocument/2006/relationships" name="Charts -comparing to act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</font>
    <font>
      <b val="1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EAF3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4" borderId="1" pivotButton="0" quotePrefix="0" xfId="0"/>
    <xf numFmtId="164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4" borderId="0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0" fillId="5" borderId="0" pivotButton="0" quotePrefix="0" xfId="0"/>
    <xf numFmtId="0" fontId="4" fillId="5" borderId="1" pivotButton="0" quotePrefix="0" xfId="0"/>
    <xf numFmtId="164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5" borderId="0" pivotButton="0" quotePrefix="0" xfId="0"/>
    <xf numFmtId="0" fontId="3" fillId="2" borderId="1" applyAlignment="1" pivotButton="0" quotePrefix="0" xfId="0">
      <alignment horizontal="center"/>
    </xf>
    <xf numFmtId="165" fontId="0" fillId="0" borderId="1" pivotButton="0" quotePrefix="0" xfId="0"/>
    <xf numFmtId="165" fontId="0" fillId="5" borderId="1" pivotButton="0" quotePrefix="0" xfId="0"/>
    <xf numFmtId="165" fontId="4" fillId="4" borderId="0" pivotButton="0" quotePrefix="0" xfId="0"/>
    <xf numFmtId="0" fontId="4" fillId="6" borderId="0" pivotButton="0" quotePrefix="0" xfId="0"/>
    <xf numFmtId="165" fontId="4" fillId="6" borderId="0" pivotButton="0" quotePrefix="0" xfId="0"/>
    <xf numFmtId="0" fontId="3" fillId="2" borderId="1" applyAlignment="1" pivotButton="0" quotePrefix="0" xfId="0">
      <alignment horizontal="center" wrapText="1"/>
    </xf>
    <xf numFmtId="165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invoice vs iQuote sell vs SPOT sell — 40 jobs (outliers tinted)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-comparing to actuals'!B3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actuals'!$A$4:$A$43</f>
            </numRef>
          </cat>
          <val>
            <numRef>
              <f>'Charts -comparing to actuals'!$B$4:$B$43</f>
            </numRef>
          </val>
        </ser>
        <ser>
          <idx val="1"/>
          <order val="1"/>
          <tx>
            <strRef>
              <f>'Charts -comparing to actuals'!C3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actuals'!$A$4:$A$43</f>
            </numRef>
          </cat>
          <val>
            <numRef>
              <f>'Charts -comparing to actuals'!$C$4:$C$43</f>
            </numRef>
          </val>
        </ser>
        <ser>
          <idx val="2"/>
          <order val="2"/>
          <tx>
            <strRef>
              <f>'Charts -comparing to actuals'!D3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actuals'!$A$4:$A$43</f>
            </numRef>
          </cat>
          <val>
            <numRef>
              <f>'Charts -comparing to actuals'!$D$4:$D$43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MIS Job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vs actual by category — CLEAN 35 jobs (outliers excluded)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-comparing to actuals'!E48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actuals'!$A$49:$A$53</f>
            </numRef>
          </cat>
          <val>
            <numRef>
              <f>'Charts -comparing to actuals'!$E$49:$E$53</f>
            </numRef>
          </val>
        </ser>
        <ser>
          <idx val="1"/>
          <order val="1"/>
          <tx>
            <strRef>
              <f>'Charts -comparing to actuals'!F48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actuals'!$A$49:$A$53</f>
            </numRef>
          </cat>
          <val>
            <numRef>
              <f>'Charts -comparing to actuals'!$F$49:$F$53</f>
            </numRef>
          </val>
        </ser>
        <ser>
          <idx val="2"/>
          <order val="2"/>
          <tx>
            <strRef>
              <f>'Charts -comparing to actuals'!G48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actuals'!$A$49:$A$53</f>
            </numRef>
          </cat>
          <val>
            <numRef>
              <f>'Charts -comparing to actuals'!$G$49:$G$53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vs actual by category — ALL 40 jobs (for reference)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-comparing to actuals'!B48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actuals'!$A$49:$A$53</f>
            </numRef>
          </cat>
          <val>
            <numRef>
              <f>'Charts -comparing to actuals'!$B$49:$B$53</f>
            </numRef>
          </val>
        </ser>
        <ser>
          <idx val="1"/>
          <order val="1"/>
          <tx>
            <strRef>
              <f>'Charts -comparing to actuals'!C48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actuals'!$A$49:$A$53</f>
            </numRef>
          </cat>
          <val>
            <numRef>
              <f>'Charts -comparing to actuals'!$C$49:$C$53</f>
            </numRef>
          </val>
        </ser>
        <ser>
          <idx val="2"/>
          <order val="2"/>
          <tx>
            <strRef>
              <f>'Charts -comparing to actuals'!D48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actuals'!$A$49:$A$53</f>
            </numRef>
          </cat>
          <val>
            <numRef>
              <f>'Charts -comparing to actuals'!$D$49:$D$53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129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47</row>
      <rowOff>0</rowOff>
    </from>
    <ext cx="1296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79</row>
      <rowOff>0</rowOff>
    </from>
    <ext cx="12960000" cy="57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3" customWidth="1" min="4" max="4"/>
    <col width="13" customWidth="1" min="5" max="5"/>
    <col width="13" customWidth="1" min="6" max="6"/>
    <col width="15" customWidth="1" min="7" max="7"/>
    <col width="15" customWidth="1" min="8" max="8"/>
    <col width="10" customWidth="1" min="9" max="9"/>
    <col width="55" customWidth="1" min="10" max="10"/>
  </cols>
  <sheetData>
    <row r="1">
      <c r="A1" s="1" t="inlineStr">
        <is>
          <t>Three-Way: iQuote estimate vs SPOT estimate vs ACTUAL job cost (40 produced jobs)</t>
        </is>
      </c>
    </row>
    <row r="2" ht="60" customHeight="1">
      <c r="A2" s="2" t="inlineStr">
        <is>
          <t>Ground-truth check. Actuals joined SPOT → iQuote by iQuote #, then iQuote → MIS Job by MISJobID. All jobs where iQuote sold and MIS job produced are included. Categories: Material, Print, Cutting, Handwork (strip+glue+tape), Die. TOTAL row excludes Die so pilots can be compared apples-to-apples on the recurring cost lines. iQuote does not break out a Die line separately in this feed, so its Die estimate is $0 by design. Percentages are (estimate − actual) / actual.</t>
        </is>
      </c>
    </row>
    <row r="4" ht="30" customHeight="1">
      <c r="A4" s="3" t="inlineStr">
        <is>
          <t>MIS Job</t>
        </is>
      </c>
      <c r="B4" s="3" t="inlineStr">
        <is>
          <t>SPOT Est / iQuote #</t>
        </is>
      </c>
      <c r="C4" s="3" t="inlineStr">
        <is>
          <t>Category</t>
        </is>
      </c>
      <c r="D4" s="3" t="inlineStr">
        <is>
          <t>SPOT Est $</t>
        </is>
      </c>
      <c r="E4" s="3" t="inlineStr">
        <is>
          <t>iQuote Est $</t>
        </is>
      </c>
      <c r="F4" s="3" t="inlineStr">
        <is>
          <t>ACTUAL $</t>
        </is>
      </c>
      <c r="G4" s="3" t="inlineStr">
        <is>
          <t>SPOT vs Actual</t>
        </is>
      </c>
      <c r="H4" s="3" t="inlineStr">
        <is>
          <t>iQuote vs Actual</t>
        </is>
      </c>
      <c r="I4" s="3" t="inlineStr">
        <is>
          <t>Outlier?</t>
        </is>
      </c>
      <c r="J4" s="3" t="inlineStr">
        <is>
          <t>Note</t>
        </is>
      </c>
    </row>
    <row r="5">
      <c r="A5" s="4" t="n">
        <v>234843</v>
      </c>
      <c r="B5" s="4" t="inlineStr">
        <is>
          <t>RW-260804-165029 / 222151</t>
        </is>
      </c>
      <c r="C5" s="5" t="inlineStr">
        <is>
          <t>Material</t>
        </is>
      </c>
      <c r="D5" s="6" t="n">
        <v>293.53</v>
      </c>
      <c r="E5" s="6" t="n">
        <v>214.61</v>
      </c>
      <c r="F5" s="6" t="n">
        <v>232.89</v>
      </c>
      <c r="G5" s="7" t="inlineStr">
        <is>
          <t>+26%</t>
        </is>
      </c>
      <c r="H5" s="7" t="inlineStr">
        <is>
          <t>-8%</t>
        </is>
      </c>
      <c r="I5" s="7" t="inlineStr"/>
      <c r="J5" s="8" t="n"/>
    </row>
    <row r="6">
      <c r="A6" s="5" t="n"/>
      <c r="B6" s="5" t="n"/>
      <c r="C6" s="5" t="inlineStr">
        <is>
          <t>Print</t>
        </is>
      </c>
      <c r="D6" s="6" t="n">
        <v>249.02</v>
      </c>
      <c r="E6" s="6" t="n">
        <v>161.43</v>
      </c>
      <c r="F6" s="6" t="n">
        <v>67.59999999999999</v>
      </c>
      <c r="G6" s="7" t="inlineStr">
        <is>
          <t>+268%</t>
        </is>
      </c>
      <c r="H6" s="7" t="inlineStr">
        <is>
          <t>+139%</t>
        </is>
      </c>
      <c r="I6" s="5" t="n"/>
    </row>
    <row r="7">
      <c r="A7" s="5" t="n"/>
      <c r="B7" s="5" t="n"/>
      <c r="C7" s="5" t="inlineStr">
        <is>
          <t>Cutting</t>
        </is>
      </c>
      <c r="D7" s="6" t="n">
        <v>238.78</v>
      </c>
      <c r="E7" s="6" t="n">
        <v>259.71</v>
      </c>
      <c r="F7" s="6" t="n">
        <v>0</v>
      </c>
      <c r="G7" s="7" t="inlineStr">
        <is>
          <t>n/a</t>
        </is>
      </c>
      <c r="H7" s="7" t="inlineStr">
        <is>
          <t>n/a</t>
        </is>
      </c>
      <c r="I7" s="5" t="n"/>
    </row>
    <row r="8">
      <c r="A8" s="5" t="n"/>
      <c r="B8" s="5" t="n"/>
      <c r="C8" s="5" t="inlineStr">
        <is>
          <t>Handwork</t>
        </is>
      </c>
      <c r="D8" s="6" t="n">
        <v>17.85</v>
      </c>
      <c r="E8" s="6" t="n">
        <v>0</v>
      </c>
      <c r="F8" s="6" t="n">
        <v>0</v>
      </c>
      <c r="G8" s="7" t="inlineStr">
        <is>
          <t>n/a</t>
        </is>
      </c>
      <c r="H8" s="7" t="inlineStr">
        <is>
          <t>n/a</t>
        </is>
      </c>
      <c r="I8" s="5" t="n"/>
    </row>
    <row r="9">
      <c r="A9" s="5" t="n"/>
      <c r="B9" s="5" t="n"/>
      <c r="C9" s="5" t="inlineStr">
        <is>
          <t>Die</t>
        </is>
      </c>
      <c r="D9" s="6" t="n">
        <v>0</v>
      </c>
      <c r="E9" s="6" t="n">
        <v>0</v>
      </c>
      <c r="F9" s="6" t="n">
        <v>0</v>
      </c>
      <c r="G9" s="7" t="inlineStr">
        <is>
          <t>n/a</t>
        </is>
      </c>
      <c r="H9" s="7" t="inlineStr">
        <is>
          <t>n/a</t>
        </is>
      </c>
      <c r="I9" s="5" t="n"/>
    </row>
    <row r="10">
      <c r="A10" s="9" t="n"/>
      <c r="B10" s="9" t="n"/>
      <c r="C10" s="9" t="inlineStr">
        <is>
          <t>TOTAL (excl die)</t>
        </is>
      </c>
      <c r="D10" s="10" t="n">
        <v>799.1799999999999</v>
      </c>
      <c r="E10" s="10" t="n">
        <v>635.75</v>
      </c>
      <c r="F10" s="10" t="n">
        <v>300.49</v>
      </c>
      <c r="G10" s="11" t="inlineStr">
        <is>
          <t>+166%</t>
        </is>
      </c>
      <c r="H10" s="11" t="inlineStr">
        <is>
          <t>+112%</t>
        </is>
      </c>
      <c r="I10" s="9" t="n"/>
      <c r="J10" s="12" t="n"/>
    </row>
    <row r="11">
      <c r="A11" s="5" t="n"/>
      <c r="B11" s="5" t="n"/>
      <c r="I11" s="5" t="n"/>
    </row>
    <row r="12">
      <c r="A12" s="4" t="n">
        <v>235366</v>
      </c>
      <c r="B12" s="4" t="inlineStr">
        <is>
          <t>RW-260807-161054 / 222219</t>
        </is>
      </c>
      <c r="C12" s="5" t="inlineStr">
        <is>
          <t>Material</t>
        </is>
      </c>
      <c r="D12" s="6" t="n">
        <v>728.12</v>
      </c>
      <c r="E12" s="6" t="n">
        <v>657.46</v>
      </c>
      <c r="F12" s="6" t="n">
        <v>838.53</v>
      </c>
      <c r="G12" s="7" t="inlineStr">
        <is>
          <t>-13%</t>
        </is>
      </c>
      <c r="H12" s="7" t="inlineStr">
        <is>
          <t>-22%</t>
        </is>
      </c>
      <c r="I12" s="7" t="inlineStr"/>
      <c r="J12" s="8" t="n"/>
    </row>
    <row r="13">
      <c r="A13" s="5" t="n"/>
      <c r="B13" s="5" t="n"/>
      <c r="C13" s="5" t="inlineStr">
        <is>
          <t>Print</t>
        </is>
      </c>
      <c r="D13" s="6" t="n">
        <v>1102.13</v>
      </c>
      <c r="E13" s="6" t="n">
        <v>473.9</v>
      </c>
      <c r="F13" s="6" t="n">
        <v>1339.88</v>
      </c>
      <c r="G13" s="7" t="inlineStr">
        <is>
          <t>-18%</t>
        </is>
      </c>
      <c r="H13" s="7" t="inlineStr">
        <is>
          <t>-65%</t>
        </is>
      </c>
      <c r="I13" s="5" t="n"/>
    </row>
    <row r="14">
      <c r="A14" s="5" t="n"/>
      <c r="B14" s="5" t="n"/>
      <c r="C14" s="5" t="inlineStr">
        <is>
          <t>Cutting</t>
        </is>
      </c>
      <c r="D14" s="6" t="n">
        <v>302.85</v>
      </c>
      <c r="E14" s="6" t="n">
        <v>336.95</v>
      </c>
      <c r="F14" s="6" t="n">
        <v>498.68</v>
      </c>
      <c r="G14" s="7" t="inlineStr">
        <is>
          <t>-39%</t>
        </is>
      </c>
      <c r="H14" s="7" t="inlineStr">
        <is>
          <t>-32%</t>
        </is>
      </c>
      <c r="I14" s="5" t="n"/>
    </row>
    <row r="15">
      <c r="A15" s="5" t="n"/>
      <c r="B15" s="5" t="n"/>
      <c r="C15" s="5" t="inlineStr">
        <is>
          <t>Handwork</t>
        </is>
      </c>
      <c r="D15" s="6" t="n">
        <v>0</v>
      </c>
      <c r="E15" s="6" t="n">
        <v>0</v>
      </c>
      <c r="F15" s="6" t="n">
        <v>0</v>
      </c>
      <c r="G15" s="7" t="inlineStr">
        <is>
          <t>n/a</t>
        </is>
      </c>
      <c r="H15" s="7" t="inlineStr">
        <is>
          <t>n/a</t>
        </is>
      </c>
      <c r="I15" s="5" t="n"/>
    </row>
    <row r="16">
      <c r="A16" s="5" t="n"/>
      <c r="B16" s="5" t="n"/>
      <c r="C16" s="5" t="inlineStr">
        <is>
          <t>Die</t>
        </is>
      </c>
      <c r="D16" s="6" t="n">
        <v>0</v>
      </c>
      <c r="E16" s="6" t="n">
        <v>0</v>
      </c>
      <c r="F16" s="6" t="n">
        <v>0</v>
      </c>
      <c r="G16" s="7" t="inlineStr">
        <is>
          <t>n/a</t>
        </is>
      </c>
      <c r="H16" s="7" t="inlineStr">
        <is>
          <t>n/a</t>
        </is>
      </c>
      <c r="I16" s="5" t="n"/>
    </row>
    <row r="17">
      <c r="A17" s="9" t="n"/>
      <c r="B17" s="9" t="n"/>
      <c r="C17" s="9" t="inlineStr">
        <is>
          <t>TOTAL (excl die)</t>
        </is>
      </c>
      <c r="D17" s="10" t="n">
        <v>2133.1</v>
      </c>
      <c r="E17" s="10" t="n">
        <v>1468.32</v>
      </c>
      <c r="F17" s="10" t="n">
        <v>2677.09</v>
      </c>
      <c r="G17" s="11" t="inlineStr">
        <is>
          <t>-20%</t>
        </is>
      </c>
      <c r="H17" s="11" t="inlineStr">
        <is>
          <t>-45%</t>
        </is>
      </c>
      <c r="I17" s="9" t="n"/>
      <c r="J17" s="12" t="n"/>
    </row>
    <row r="18">
      <c r="A18" s="5" t="n"/>
      <c r="B18" s="5" t="n"/>
      <c r="I18" s="5" t="n"/>
    </row>
    <row r="19">
      <c r="A19" s="4" t="n">
        <v>235367</v>
      </c>
      <c r="B19" s="4" t="inlineStr">
        <is>
          <t>CS-260805-145422 / 222220</t>
        </is>
      </c>
      <c r="C19" s="5" t="inlineStr">
        <is>
          <t>Material</t>
        </is>
      </c>
      <c r="D19" s="6" t="n">
        <v>185.74</v>
      </c>
      <c r="E19" s="6" t="n">
        <v>168.3</v>
      </c>
      <c r="F19" s="6" t="n">
        <v>183.28</v>
      </c>
      <c r="G19" s="7" t="inlineStr">
        <is>
          <t>+1%</t>
        </is>
      </c>
      <c r="H19" s="7" t="inlineStr">
        <is>
          <t>-8%</t>
        </is>
      </c>
      <c r="I19" s="7" t="inlineStr"/>
      <c r="J19" s="8" t="n"/>
    </row>
    <row r="20">
      <c r="A20" s="5" t="n"/>
      <c r="B20" s="5" t="n"/>
      <c r="C20" s="5" t="inlineStr">
        <is>
          <t>Print</t>
        </is>
      </c>
      <c r="D20" s="6" t="n">
        <v>251.07</v>
      </c>
      <c r="E20" s="6" t="n">
        <v>187.32</v>
      </c>
      <c r="F20" s="6" t="n">
        <v>481.26</v>
      </c>
      <c r="G20" s="7" t="inlineStr">
        <is>
          <t>-48%</t>
        </is>
      </c>
      <c r="H20" s="7" t="inlineStr">
        <is>
          <t>-61%</t>
        </is>
      </c>
      <c r="I20" s="5" t="n"/>
    </row>
    <row r="21">
      <c r="A21" s="5" t="n"/>
      <c r="B21" s="5" t="n"/>
      <c r="C21" s="5" t="inlineStr">
        <is>
          <t>Cutting</t>
        </is>
      </c>
      <c r="D21" s="6" t="n">
        <v>645.1799999999999</v>
      </c>
      <c r="E21" s="6" t="n">
        <v>409.54</v>
      </c>
      <c r="F21" s="6" t="n">
        <v>915.9</v>
      </c>
      <c r="G21" s="7" t="inlineStr">
        <is>
          <t>-30%</t>
        </is>
      </c>
      <c r="H21" s="7" t="inlineStr">
        <is>
          <t>-55%</t>
        </is>
      </c>
      <c r="I21" s="5" t="n"/>
    </row>
    <row r="22">
      <c r="A22" s="5" t="n"/>
      <c r="B22" s="5" t="n"/>
      <c r="C22" s="5" t="inlineStr">
        <is>
          <t>Handwork</t>
        </is>
      </c>
      <c r="D22" s="6" t="n">
        <v>18.7</v>
      </c>
      <c r="E22" s="6" t="n">
        <v>850.36</v>
      </c>
      <c r="F22" s="6" t="n">
        <v>0</v>
      </c>
      <c r="G22" s="7" t="inlineStr">
        <is>
          <t>n/a</t>
        </is>
      </c>
      <c r="H22" s="7" t="inlineStr">
        <is>
          <t>n/a</t>
        </is>
      </c>
      <c r="I22" s="5" t="n"/>
    </row>
    <row r="23">
      <c r="A23" s="5" t="n"/>
      <c r="B23" s="5" t="n"/>
      <c r="C23" s="5" t="inlineStr">
        <is>
          <t>Die</t>
        </is>
      </c>
      <c r="D23" s="6" t="n">
        <v>0</v>
      </c>
      <c r="E23" s="6" t="n">
        <v>0</v>
      </c>
      <c r="F23" s="6" t="n">
        <v>1060</v>
      </c>
      <c r="G23" s="7" t="inlineStr">
        <is>
          <t>-100%</t>
        </is>
      </c>
      <c r="H23" s="7" t="inlineStr">
        <is>
          <t>-100%</t>
        </is>
      </c>
      <c r="I23" s="5" t="n"/>
    </row>
    <row r="24">
      <c r="A24" s="9" t="n"/>
      <c r="B24" s="9" t="n"/>
      <c r="C24" s="9" t="inlineStr">
        <is>
          <t>TOTAL (excl die)</t>
        </is>
      </c>
      <c r="D24" s="10" t="n">
        <v>1100.69</v>
      </c>
      <c r="E24" s="10" t="n">
        <v>1615.53</v>
      </c>
      <c r="F24" s="10" t="n">
        <v>1580.44</v>
      </c>
      <c r="G24" s="11" t="inlineStr">
        <is>
          <t>-30%</t>
        </is>
      </c>
      <c r="H24" s="11" t="inlineStr">
        <is>
          <t>+2%</t>
        </is>
      </c>
      <c r="I24" s="9" t="n"/>
      <c r="J24" s="12" t="n"/>
    </row>
    <row r="25">
      <c r="A25" s="5" t="n"/>
      <c r="B25" s="5" t="n"/>
      <c r="I25" s="5" t="n"/>
    </row>
    <row r="26">
      <c r="A26" s="4" t="n">
        <v>235005</v>
      </c>
      <c r="B26" s="4" t="inlineStr">
        <is>
          <t>RW-260805-105526 / 222315</t>
        </is>
      </c>
      <c r="C26" s="5" t="inlineStr">
        <is>
          <t>Material</t>
        </is>
      </c>
      <c r="D26" s="6" t="n">
        <v>674.55</v>
      </c>
      <c r="E26" s="6" t="n">
        <v>648.12</v>
      </c>
      <c r="F26" s="6" t="n">
        <v>628.54</v>
      </c>
      <c r="G26" s="7" t="inlineStr">
        <is>
          <t>+7%</t>
        </is>
      </c>
      <c r="H26" s="7" t="inlineStr">
        <is>
          <t>+3%</t>
        </is>
      </c>
      <c r="I26" s="7" t="inlineStr"/>
      <c r="J26" s="8" t="n"/>
    </row>
    <row r="27">
      <c r="A27" s="5" t="n"/>
      <c r="B27" s="5" t="n"/>
      <c r="C27" s="5" t="inlineStr">
        <is>
          <t>Print</t>
        </is>
      </c>
      <c r="D27" s="6" t="n">
        <v>1317.93</v>
      </c>
      <c r="E27" s="6" t="n">
        <v>682.26</v>
      </c>
      <c r="F27" s="6" t="n">
        <v>620.96</v>
      </c>
      <c r="G27" s="7" t="inlineStr">
        <is>
          <t>+112%</t>
        </is>
      </c>
      <c r="H27" s="7" t="inlineStr">
        <is>
          <t>+10%</t>
        </is>
      </c>
      <c r="I27" s="5" t="n"/>
    </row>
    <row r="28">
      <c r="A28" s="5" t="n"/>
      <c r="B28" s="5" t="n"/>
      <c r="C28" s="5" t="inlineStr">
        <is>
          <t>Cutting</t>
        </is>
      </c>
      <c r="D28" s="6" t="n">
        <v>1697.02</v>
      </c>
      <c r="E28" s="6" t="n">
        <v>554.3099999999999</v>
      </c>
      <c r="F28" s="6" t="n">
        <v>1202.87</v>
      </c>
      <c r="G28" s="7" t="inlineStr">
        <is>
          <t>+41%</t>
        </is>
      </c>
      <c r="H28" s="7" t="inlineStr">
        <is>
          <t>-54%</t>
        </is>
      </c>
      <c r="I28" s="5" t="n"/>
    </row>
    <row r="29">
      <c r="A29" s="5" t="n"/>
      <c r="B29" s="5" t="n"/>
      <c r="C29" s="5" t="inlineStr">
        <is>
          <t>Handwork</t>
        </is>
      </c>
      <c r="D29" s="6" t="n">
        <v>731.4</v>
      </c>
      <c r="E29" s="6" t="n">
        <v>896.9400000000001</v>
      </c>
      <c r="F29" s="6" t="n">
        <v>0</v>
      </c>
      <c r="G29" s="7" t="inlineStr">
        <is>
          <t>n/a</t>
        </is>
      </c>
      <c r="H29" s="7" t="inlineStr">
        <is>
          <t>n/a</t>
        </is>
      </c>
      <c r="I29" s="5" t="n"/>
    </row>
    <row r="30">
      <c r="A30" s="5" t="n"/>
      <c r="B30" s="5" t="n"/>
      <c r="C30" s="5" t="inlineStr">
        <is>
          <t>Die</t>
        </is>
      </c>
      <c r="D30" s="6" t="n">
        <v>1148.85</v>
      </c>
      <c r="E30" s="6" t="n">
        <v>0</v>
      </c>
      <c r="F30" s="6" t="n">
        <v>0</v>
      </c>
      <c r="G30" s="7" t="inlineStr">
        <is>
          <t>n/a</t>
        </is>
      </c>
      <c r="H30" s="7" t="inlineStr">
        <is>
          <t>n/a</t>
        </is>
      </c>
      <c r="I30" s="5" t="n"/>
    </row>
    <row r="31">
      <c r="A31" s="9" t="n"/>
      <c r="B31" s="9" t="n"/>
      <c r="C31" s="9" t="inlineStr">
        <is>
          <t>TOTAL (excl die)</t>
        </is>
      </c>
      <c r="D31" s="10" t="n">
        <v>4420.9</v>
      </c>
      <c r="E31" s="10" t="n">
        <v>2781.63</v>
      </c>
      <c r="F31" s="10" t="n">
        <v>2452.37</v>
      </c>
      <c r="G31" s="11" t="inlineStr">
        <is>
          <t>+80%</t>
        </is>
      </c>
      <c r="H31" s="11" t="inlineStr">
        <is>
          <t>+13%</t>
        </is>
      </c>
      <c r="I31" s="9" t="n"/>
      <c r="J31" s="12" t="n"/>
    </row>
    <row r="32">
      <c r="A32" s="5" t="n"/>
      <c r="B32" s="5" t="n"/>
      <c r="I32" s="5" t="n"/>
    </row>
    <row r="33">
      <c r="A33" s="4" t="n">
        <v>235786</v>
      </c>
      <c r="B33" s="4" t="inlineStr">
        <is>
          <t>RW-260805-110335 / 222327</t>
        </is>
      </c>
      <c r="C33" s="5" t="inlineStr">
        <is>
          <t>Material</t>
        </is>
      </c>
      <c r="D33" s="6" t="n">
        <v>104.39</v>
      </c>
      <c r="E33" s="6" t="n">
        <v>75.05</v>
      </c>
      <c r="F33" s="6" t="n">
        <v>75.05</v>
      </c>
      <c r="G33" s="7" t="inlineStr">
        <is>
          <t>+39%</t>
        </is>
      </c>
      <c r="H33" s="7" t="inlineStr">
        <is>
          <t>-0%</t>
        </is>
      </c>
      <c r="I33" s="7" t="inlineStr"/>
      <c r="J33" s="8" t="n"/>
    </row>
    <row r="34">
      <c r="A34" s="5" t="n"/>
      <c r="B34" s="5" t="n"/>
      <c r="C34" s="5" t="inlineStr">
        <is>
          <t>Print</t>
        </is>
      </c>
      <c r="D34" s="6" t="n">
        <v>119.9</v>
      </c>
      <c r="E34" s="6" t="n">
        <v>92.40000000000001</v>
      </c>
      <c r="F34" s="6" t="n">
        <v>128.88</v>
      </c>
      <c r="G34" s="7" t="inlineStr">
        <is>
          <t>-7%</t>
        </is>
      </c>
      <c r="H34" s="7" t="inlineStr">
        <is>
          <t>-28%</t>
        </is>
      </c>
      <c r="I34" s="5" t="n"/>
    </row>
    <row r="35">
      <c r="A35" s="5" t="n"/>
      <c r="B35" s="5" t="n"/>
      <c r="C35" s="5" t="inlineStr">
        <is>
          <t>Cutting</t>
        </is>
      </c>
      <c r="D35" s="6" t="n">
        <v>120.34</v>
      </c>
      <c r="E35" s="6" t="n">
        <v>117.88</v>
      </c>
      <c r="F35" s="6" t="n">
        <v>194.54</v>
      </c>
      <c r="G35" s="7" t="inlineStr">
        <is>
          <t>-38%</t>
        </is>
      </c>
      <c r="H35" s="7" t="inlineStr">
        <is>
          <t>-39%</t>
        </is>
      </c>
      <c r="I35" s="5" t="n"/>
    </row>
    <row r="36">
      <c r="A36" s="5" t="n"/>
      <c r="B36" s="5" t="n"/>
      <c r="C36" s="5" t="inlineStr">
        <is>
          <t>Handwork</t>
        </is>
      </c>
      <c r="D36" s="6" t="n">
        <v>0</v>
      </c>
      <c r="E36" s="6" t="n">
        <v>0</v>
      </c>
      <c r="F36" s="6" t="n">
        <v>0</v>
      </c>
      <c r="G36" s="7" t="inlineStr">
        <is>
          <t>n/a</t>
        </is>
      </c>
      <c r="H36" s="7" t="inlineStr">
        <is>
          <t>n/a</t>
        </is>
      </c>
      <c r="I36" s="5" t="n"/>
    </row>
    <row r="37">
      <c r="A37" s="5" t="n"/>
      <c r="B37" s="5" t="n"/>
      <c r="C37" s="5" t="inlineStr">
        <is>
          <t>Die</t>
        </is>
      </c>
      <c r="D37" s="6" t="n">
        <v>0</v>
      </c>
      <c r="E37" s="6" t="n">
        <v>0</v>
      </c>
      <c r="F37" s="6" t="n">
        <v>0</v>
      </c>
      <c r="G37" s="7" t="inlineStr">
        <is>
          <t>n/a</t>
        </is>
      </c>
      <c r="H37" s="7" t="inlineStr">
        <is>
          <t>n/a</t>
        </is>
      </c>
      <c r="I37" s="5" t="n"/>
    </row>
    <row r="38">
      <c r="A38" s="9" t="n"/>
      <c r="B38" s="9" t="n"/>
      <c r="C38" s="9" t="inlineStr">
        <is>
          <t>TOTAL (excl die)</t>
        </is>
      </c>
      <c r="D38" s="10" t="n">
        <v>344.63</v>
      </c>
      <c r="E38" s="10" t="n">
        <v>285.32</v>
      </c>
      <c r="F38" s="10" t="n">
        <v>398.47</v>
      </c>
      <c r="G38" s="11" t="inlineStr">
        <is>
          <t>-14%</t>
        </is>
      </c>
      <c r="H38" s="11" t="inlineStr">
        <is>
          <t>-28%</t>
        </is>
      </c>
      <c r="I38" s="9" t="n"/>
      <c r="J38" s="12" t="n"/>
    </row>
    <row r="39">
      <c r="A39" s="5" t="n"/>
      <c r="B39" s="5" t="n"/>
      <c r="I39" s="5" t="n"/>
    </row>
    <row r="40">
      <c r="A40" s="4" t="n">
        <v>235922</v>
      </c>
      <c r="B40" s="4" t="inlineStr">
        <is>
          <t>RW-260805-111442 / 222466</t>
        </is>
      </c>
      <c r="C40" s="5" t="inlineStr">
        <is>
          <t>Material</t>
        </is>
      </c>
      <c r="D40" s="6" t="n">
        <v>510.8</v>
      </c>
      <c r="E40" s="6" t="n">
        <v>455.05</v>
      </c>
      <c r="F40" s="6" t="n">
        <v>495.52</v>
      </c>
      <c r="G40" s="7" t="inlineStr">
        <is>
          <t>+3%</t>
        </is>
      </c>
      <c r="H40" s="7" t="inlineStr">
        <is>
          <t>-8%</t>
        </is>
      </c>
      <c r="I40" s="7" t="inlineStr"/>
      <c r="J40" s="8" t="n"/>
    </row>
    <row r="41">
      <c r="A41" s="5" t="n"/>
      <c r="B41" s="5" t="n"/>
      <c r="C41" s="5" t="inlineStr">
        <is>
          <t>Print</t>
        </is>
      </c>
      <c r="D41" s="6" t="n">
        <v>690.4299999999999</v>
      </c>
      <c r="E41" s="6" t="n">
        <v>397.71</v>
      </c>
      <c r="F41" s="6" t="n">
        <v>407.27</v>
      </c>
      <c r="G41" s="7" t="inlineStr">
        <is>
          <t>+70%</t>
        </is>
      </c>
      <c r="H41" s="7" t="inlineStr">
        <is>
          <t>-2%</t>
        </is>
      </c>
      <c r="I41" s="5" t="n"/>
    </row>
    <row r="42">
      <c r="A42" s="5" t="n"/>
      <c r="B42" s="5" t="n"/>
      <c r="C42" s="5" t="inlineStr">
        <is>
          <t>Cutting</t>
        </is>
      </c>
      <c r="D42" s="6" t="n">
        <v>690</v>
      </c>
      <c r="E42" s="6" t="n">
        <v>337.14</v>
      </c>
      <c r="F42" s="6" t="n">
        <v>1375.28</v>
      </c>
      <c r="G42" s="7" t="inlineStr">
        <is>
          <t>-50%</t>
        </is>
      </c>
      <c r="H42" s="7" t="inlineStr">
        <is>
          <t>-75%</t>
        </is>
      </c>
      <c r="I42" s="5" t="n"/>
    </row>
    <row r="43">
      <c r="A43" s="5" t="n"/>
      <c r="B43" s="5" t="n"/>
      <c r="C43" s="5" t="inlineStr">
        <is>
          <t>Handwork</t>
        </is>
      </c>
      <c r="D43" s="6" t="n">
        <v>0</v>
      </c>
      <c r="E43" s="6" t="n">
        <v>0</v>
      </c>
      <c r="F43" s="6" t="n">
        <v>0</v>
      </c>
      <c r="G43" s="7" t="inlineStr">
        <is>
          <t>n/a</t>
        </is>
      </c>
      <c r="H43" s="7" t="inlineStr">
        <is>
          <t>n/a</t>
        </is>
      </c>
      <c r="I43" s="5" t="n"/>
    </row>
    <row r="44">
      <c r="A44" s="5" t="n"/>
      <c r="B44" s="5" t="n"/>
      <c r="C44" s="5" t="inlineStr">
        <is>
          <t>Die</t>
        </is>
      </c>
      <c r="D44" s="6" t="n">
        <v>0</v>
      </c>
      <c r="E44" s="6" t="n">
        <v>0</v>
      </c>
      <c r="F44" s="6" t="n">
        <v>0</v>
      </c>
      <c r="G44" s="7" t="inlineStr">
        <is>
          <t>n/a</t>
        </is>
      </c>
      <c r="H44" s="7" t="inlineStr">
        <is>
          <t>n/a</t>
        </is>
      </c>
      <c r="I44" s="5" t="n"/>
    </row>
    <row r="45">
      <c r="A45" s="9" t="n"/>
      <c r="B45" s="9" t="n"/>
      <c r="C45" s="9" t="inlineStr">
        <is>
          <t>TOTAL (excl die)</t>
        </is>
      </c>
      <c r="D45" s="10" t="n">
        <v>1891.23</v>
      </c>
      <c r="E45" s="10" t="n">
        <v>1189.89</v>
      </c>
      <c r="F45" s="10" t="n">
        <v>2278.07</v>
      </c>
      <c r="G45" s="11" t="inlineStr">
        <is>
          <t>-17%</t>
        </is>
      </c>
      <c r="H45" s="11" t="inlineStr">
        <is>
          <t>-48%</t>
        </is>
      </c>
      <c r="I45" s="9" t="n"/>
      <c r="J45" s="12" t="n"/>
    </row>
    <row r="46">
      <c r="A46" s="5" t="n"/>
      <c r="B46" s="5" t="n"/>
      <c r="I46" s="5" t="n"/>
    </row>
    <row r="47">
      <c r="A47" s="4" t="n">
        <v>235921</v>
      </c>
      <c r="B47" s="4" t="inlineStr">
        <is>
          <t>RW-260805-132313 / 222478</t>
        </is>
      </c>
      <c r="C47" s="5" t="inlineStr">
        <is>
          <t>Material</t>
        </is>
      </c>
      <c r="D47" s="6" t="n">
        <v>252.08</v>
      </c>
      <c r="E47" s="6" t="n">
        <v>218.17</v>
      </c>
      <c r="F47" s="6" t="n">
        <v>237.58</v>
      </c>
      <c r="G47" s="7" t="inlineStr">
        <is>
          <t>+6%</t>
        </is>
      </c>
      <c r="H47" s="7" t="inlineStr">
        <is>
          <t>-8%</t>
        </is>
      </c>
      <c r="I47" s="7" t="inlineStr"/>
      <c r="J47" s="8" t="n"/>
    </row>
    <row r="48">
      <c r="A48" s="5" t="n"/>
      <c r="B48" s="5" t="n"/>
      <c r="C48" s="5" t="inlineStr">
        <is>
          <t>Print</t>
        </is>
      </c>
      <c r="D48" s="6" t="n">
        <v>340.73</v>
      </c>
      <c r="E48" s="6" t="n">
        <v>243.69</v>
      </c>
      <c r="F48" s="6" t="n">
        <v>345.24</v>
      </c>
      <c r="G48" s="7" t="inlineStr">
        <is>
          <t>-1%</t>
        </is>
      </c>
      <c r="H48" s="7" t="inlineStr">
        <is>
          <t>-29%</t>
        </is>
      </c>
      <c r="I48" s="5" t="n"/>
    </row>
    <row r="49">
      <c r="A49" s="5" t="n"/>
      <c r="B49" s="5" t="n"/>
      <c r="C49" s="5" t="inlineStr">
        <is>
          <t>Cutting</t>
        </is>
      </c>
      <c r="D49" s="6" t="n">
        <v>200.31</v>
      </c>
      <c r="E49" s="6" t="n">
        <v>156.64</v>
      </c>
      <c r="F49" s="6" t="n">
        <v>436.32</v>
      </c>
      <c r="G49" s="7" t="inlineStr">
        <is>
          <t>-54%</t>
        </is>
      </c>
      <c r="H49" s="7" t="inlineStr">
        <is>
          <t>-64%</t>
        </is>
      </c>
      <c r="I49" s="5" t="n"/>
    </row>
    <row r="50">
      <c r="A50" s="5" t="n"/>
      <c r="B50" s="5" t="n"/>
      <c r="C50" s="5" t="inlineStr">
        <is>
          <t>Handwork</t>
        </is>
      </c>
      <c r="D50" s="6" t="n">
        <v>0</v>
      </c>
      <c r="E50" s="6" t="n">
        <v>0</v>
      </c>
      <c r="F50" s="6" t="n">
        <v>0</v>
      </c>
      <c r="G50" s="7" t="inlineStr">
        <is>
          <t>n/a</t>
        </is>
      </c>
      <c r="H50" s="7" t="inlineStr">
        <is>
          <t>n/a</t>
        </is>
      </c>
      <c r="I50" s="5" t="n"/>
    </row>
    <row r="51">
      <c r="A51" s="5" t="n"/>
      <c r="B51" s="5" t="n"/>
      <c r="C51" s="5" t="inlineStr">
        <is>
          <t>Die</t>
        </is>
      </c>
      <c r="D51" s="6" t="n">
        <v>0</v>
      </c>
      <c r="E51" s="6" t="n">
        <v>0</v>
      </c>
      <c r="F51" s="6" t="n">
        <v>0</v>
      </c>
      <c r="G51" s="7" t="inlineStr">
        <is>
          <t>n/a</t>
        </is>
      </c>
      <c r="H51" s="7" t="inlineStr">
        <is>
          <t>n/a</t>
        </is>
      </c>
      <c r="I51" s="5" t="n"/>
    </row>
    <row r="52">
      <c r="A52" s="9" t="n"/>
      <c r="B52" s="9" t="n"/>
      <c r="C52" s="9" t="inlineStr">
        <is>
          <t>TOTAL (excl die)</t>
        </is>
      </c>
      <c r="D52" s="10" t="n">
        <v>793.12</v>
      </c>
      <c r="E52" s="10" t="n">
        <v>618.5</v>
      </c>
      <c r="F52" s="10" t="n">
        <v>1019.14</v>
      </c>
      <c r="G52" s="11" t="inlineStr">
        <is>
          <t>-22%</t>
        </is>
      </c>
      <c r="H52" s="11" t="inlineStr">
        <is>
          <t>-39%</t>
        </is>
      </c>
      <c r="I52" s="9" t="n"/>
      <c r="J52" s="12" t="n"/>
    </row>
    <row r="53">
      <c r="A53" s="5" t="n"/>
      <c r="B53" s="5" t="n"/>
      <c r="I53" s="5" t="n"/>
    </row>
    <row r="54">
      <c r="A54" s="4" t="n">
        <v>235920</v>
      </c>
      <c r="B54" s="4" t="inlineStr">
        <is>
          <t>RW-260805-115250 / 222479</t>
        </is>
      </c>
      <c r="C54" s="5" t="inlineStr">
        <is>
          <t>Material</t>
        </is>
      </c>
      <c r="D54" s="6" t="n">
        <v>364.85</v>
      </c>
      <c r="E54" s="6" t="n">
        <v>324.14</v>
      </c>
      <c r="F54" s="6" t="n">
        <v>352.98</v>
      </c>
      <c r="G54" s="7" t="inlineStr">
        <is>
          <t>+3%</t>
        </is>
      </c>
      <c r="H54" s="7" t="inlineStr">
        <is>
          <t>-8%</t>
        </is>
      </c>
      <c r="I54" s="7" t="inlineStr"/>
      <c r="J54" s="8" t="n"/>
    </row>
    <row r="55">
      <c r="A55" s="5" t="n"/>
      <c r="B55" s="5" t="n"/>
      <c r="C55" s="5" t="inlineStr">
        <is>
          <t>Print</t>
        </is>
      </c>
      <c r="D55" s="6" t="n">
        <v>493.17</v>
      </c>
      <c r="E55" s="6" t="n">
        <v>358.56</v>
      </c>
      <c r="F55" s="6" t="n">
        <v>451.17</v>
      </c>
      <c r="G55" s="7" t="inlineStr">
        <is>
          <t>+9%</t>
        </is>
      </c>
      <c r="H55" s="7" t="inlineStr">
        <is>
          <t>-21%</t>
        </is>
      </c>
      <c r="I55" s="5" t="n"/>
    </row>
    <row r="56">
      <c r="A56" s="5" t="n"/>
      <c r="B56" s="5" t="n"/>
      <c r="C56" s="5" t="inlineStr">
        <is>
          <t>Cutting</t>
        </is>
      </c>
      <c r="D56" s="6" t="n">
        <v>296.24</v>
      </c>
      <c r="E56" s="6" t="n">
        <v>231.33</v>
      </c>
      <c r="F56" s="6" t="n">
        <v>407.04</v>
      </c>
      <c r="G56" s="7" t="inlineStr">
        <is>
          <t>-27%</t>
        </is>
      </c>
      <c r="H56" s="7" t="inlineStr">
        <is>
          <t>-43%</t>
        </is>
      </c>
      <c r="I56" s="5" t="n"/>
    </row>
    <row r="57">
      <c r="A57" s="5" t="n"/>
      <c r="B57" s="5" t="n"/>
      <c r="C57" s="5" t="inlineStr">
        <is>
          <t>Handwork</t>
        </is>
      </c>
      <c r="D57" s="6" t="n">
        <v>0</v>
      </c>
      <c r="E57" s="6" t="n">
        <v>0</v>
      </c>
      <c r="F57" s="6" t="n">
        <v>0</v>
      </c>
      <c r="G57" s="7" t="inlineStr">
        <is>
          <t>n/a</t>
        </is>
      </c>
      <c r="H57" s="7" t="inlineStr">
        <is>
          <t>n/a</t>
        </is>
      </c>
      <c r="I57" s="5" t="n"/>
    </row>
    <row r="58">
      <c r="A58" s="5" t="n"/>
      <c r="B58" s="5" t="n"/>
      <c r="C58" s="5" t="inlineStr">
        <is>
          <t>Die</t>
        </is>
      </c>
      <c r="D58" s="6" t="n">
        <v>0</v>
      </c>
      <c r="E58" s="6" t="n">
        <v>0</v>
      </c>
      <c r="F58" s="6" t="n">
        <v>0</v>
      </c>
      <c r="G58" s="7" t="inlineStr">
        <is>
          <t>n/a</t>
        </is>
      </c>
      <c r="H58" s="7" t="inlineStr">
        <is>
          <t>n/a</t>
        </is>
      </c>
      <c r="I58" s="5" t="n"/>
    </row>
    <row r="59">
      <c r="A59" s="9" t="n"/>
      <c r="B59" s="9" t="n"/>
      <c r="C59" s="9" t="inlineStr">
        <is>
          <t>TOTAL (excl die)</t>
        </is>
      </c>
      <c r="D59" s="10" t="n">
        <v>1154.26</v>
      </c>
      <c r="E59" s="10" t="n">
        <v>914.03</v>
      </c>
      <c r="F59" s="10" t="n">
        <v>1211.19</v>
      </c>
      <c r="G59" s="11" t="inlineStr">
        <is>
          <t>-5%</t>
        </is>
      </c>
      <c r="H59" s="11" t="inlineStr">
        <is>
          <t>-25%</t>
        </is>
      </c>
      <c r="I59" s="9" t="n"/>
      <c r="J59" s="12" t="n"/>
    </row>
    <row r="60">
      <c r="A60" s="5" t="n"/>
      <c r="B60" s="5" t="n"/>
      <c r="I60" s="5" t="n"/>
    </row>
    <row r="61">
      <c r="A61" s="4" t="n">
        <v>235287</v>
      </c>
      <c r="B61" s="4" t="inlineStr">
        <is>
          <t>RW-260806-100307 / 222490</t>
        </is>
      </c>
      <c r="C61" s="5" t="inlineStr">
        <is>
          <t>Material</t>
        </is>
      </c>
      <c r="D61" s="6" t="n">
        <v>959.4</v>
      </c>
      <c r="E61" s="6" t="n">
        <v>1062</v>
      </c>
      <c r="F61" s="6" t="n">
        <v>692.02</v>
      </c>
      <c r="G61" s="7" t="inlineStr">
        <is>
          <t>+39%</t>
        </is>
      </c>
      <c r="H61" s="7" t="inlineStr">
        <is>
          <t>+53%</t>
        </is>
      </c>
      <c r="I61" s="7" t="inlineStr"/>
      <c r="J61" s="8" t="n"/>
    </row>
    <row r="62">
      <c r="A62" s="5" t="n"/>
      <c r="B62" s="5" t="n"/>
      <c r="C62" s="5" t="inlineStr">
        <is>
          <t>Print</t>
        </is>
      </c>
      <c r="D62" s="6" t="n">
        <v>839.29</v>
      </c>
      <c r="E62" s="6" t="n">
        <v>453.56</v>
      </c>
      <c r="F62" s="6" t="n">
        <v>937.63</v>
      </c>
      <c r="G62" s="7" t="inlineStr">
        <is>
          <t>-10%</t>
        </is>
      </c>
      <c r="H62" s="7" t="inlineStr">
        <is>
          <t>-52%</t>
        </is>
      </c>
      <c r="I62" s="5" t="n"/>
    </row>
    <row r="63">
      <c r="A63" s="5" t="n"/>
      <c r="B63" s="5" t="n"/>
      <c r="C63" s="5" t="inlineStr">
        <is>
          <t>Cutting</t>
        </is>
      </c>
      <c r="D63" s="6" t="n">
        <v>918.49</v>
      </c>
      <c r="E63" s="6" t="n">
        <v>1063.72</v>
      </c>
      <c r="F63" s="6" t="n">
        <v>839.24</v>
      </c>
      <c r="G63" s="7" t="inlineStr">
        <is>
          <t>+9%</t>
        </is>
      </c>
      <c r="H63" s="7" t="inlineStr">
        <is>
          <t>+27%</t>
        </is>
      </c>
      <c r="I63" s="5" t="n"/>
    </row>
    <row r="64">
      <c r="A64" s="5" t="n"/>
      <c r="B64" s="5" t="n"/>
      <c r="C64" s="5" t="inlineStr">
        <is>
          <t>Handwork</t>
        </is>
      </c>
      <c r="D64" s="6" t="n">
        <v>287.5</v>
      </c>
      <c r="E64" s="6" t="n">
        <v>260</v>
      </c>
      <c r="F64" s="6" t="n">
        <v>218.53</v>
      </c>
      <c r="G64" s="7" t="inlineStr">
        <is>
          <t>+32%</t>
        </is>
      </c>
      <c r="H64" s="7" t="inlineStr">
        <is>
          <t>+19%</t>
        </is>
      </c>
      <c r="I64" s="5" t="n"/>
    </row>
    <row r="65">
      <c r="A65" s="5" t="n"/>
      <c r="B65" s="5" t="n"/>
      <c r="C65" s="5" t="inlineStr">
        <is>
          <t>Die</t>
        </is>
      </c>
      <c r="D65" s="6" t="n">
        <v>0</v>
      </c>
      <c r="E65" s="6" t="n">
        <v>0</v>
      </c>
      <c r="F65" s="6" t="n">
        <v>0</v>
      </c>
      <c r="G65" s="7" t="inlineStr">
        <is>
          <t>n/a</t>
        </is>
      </c>
      <c r="H65" s="7" t="inlineStr">
        <is>
          <t>n/a</t>
        </is>
      </c>
      <c r="I65" s="5" t="n"/>
    </row>
    <row r="66">
      <c r="A66" s="9" t="n"/>
      <c r="B66" s="9" t="n"/>
      <c r="C66" s="9" t="inlineStr">
        <is>
          <t>TOTAL (excl die)</t>
        </is>
      </c>
      <c r="D66" s="10" t="n">
        <v>3004.68</v>
      </c>
      <c r="E66" s="10" t="n">
        <v>2839.28</v>
      </c>
      <c r="F66" s="10" t="n">
        <v>2687.42</v>
      </c>
      <c r="G66" s="11" t="inlineStr">
        <is>
          <t>+12%</t>
        </is>
      </c>
      <c r="H66" s="11" t="inlineStr">
        <is>
          <t>+6%</t>
        </is>
      </c>
      <c r="I66" s="9" t="n"/>
      <c r="J66" s="12" t="n"/>
    </row>
    <row r="67">
      <c r="A67" s="5" t="n"/>
      <c r="B67" s="5" t="n"/>
      <c r="I67" s="5" t="n"/>
    </row>
    <row r="68">
      <c r="A68" s="4" t="n">
        <v>235253</v>
      </c>
      <c r="B68" s="4" t="inlineStr">
        <is>
          <t>RW-260806-104713 / 222515</t>
        </is>
      </c>
      <c r="C68" s="5" t="inlineStr">
        <is>
          <t>Material</t>
        </is>
      </c>
      <c r="D68" s="6" t="n">
        <v>496.15</v>
      </c>
      <c r="E68" s="6" t="n">
        <v>494.99</v>
      </c>
      <c r="F68" s="6" t="n">
        <v>570.3</v>
      </c>
      <c r="G68" s="7" t="inlineStr">
        <is>
          <t>-13%</t>
        </is>
      </c>
      <c r="H68" s="7" t="inlineStr">
        <is>
          <t>-13%</t>
        </is>
      </c>
      <c r="I68" s="7" t="inlineStr"/>
      <c r="J68" s="8" t="n"/>
    </row>
    <row r="69">
      <c r="A69" s="5" t="n"/>
      <c r="B69" s="5" t="n"/>
      <c r="C69" s="5" t="inlineStr">
        <is>
          <t>Print</t>
        </is>
      </c>
      <c r="D69" s="6" t="n">
        <v>796.86</v>
      </c>
      <c r="E69" s="6" t="n">
        <v>638.6900000000001</v>
      </c>
      <c r="F69" s="6" t="n">
        <v>934.76</v>
      </c>
      <c r="G69" s="7" t="inlineStr">
        <is>
          <t>-15%</t>
        </is>
      </c>
      <c r="H69" s="7" t="inlineStr">
        <is>
          <t>-32%</t>
        </is>
      </c>
      <c r="I69" s="5" t="n"/>
    </row>
    <row r="70">
      <c r="A70" s="5" t="n"/>
      <c r="B70" s="5" t="n"/>
      <c r="C70" s="5" t="inlineStr">
        <is>
          <t>Cutting</t>
        </is>
      </c>
      <c r="D70" s="6" t="n">
        <v>459.97</v>
      </c>
      <c r="E70" s="6" t="n">
        <v>518.09</v>
      </c>
      <c r="F70" s="6" t="n">
        <v>643.83</v>
      </c>
      <c r="G70" s="7" t="inlineStr">
        <is>
          <t>-29%</t>
        </is>
      </c>
      <c r="H70" s="7" t="inlineStr">
        <is>
          <t>-20%</t>
        </is>
      </c>
      <c r="I70" s="5" t="n"/>
    </row>
    <row r="71">
      <c r="A71" s="5" t="n"/>
      <c r="B71" s="5" t="n"/>
      <c r="C71" s="5" t="inlineStr">
        <is>
          <t>Handwork</t>
        </is>
      </c>
      <c r="D71" s="6" t="n">
        <v>0</v>
      </c>
      <c r="E71" s="6" t="n">
        <v>0</v>
      </c>
      <c r="F71" s="6" t="n">
        <v>0</v>
      </c>
      <c r="G71" s="7" t="inlineStr">
        <is>
          <t>n/a</t>
        </is>
      </c>
      <c r="H71" s="7" t="inlineStr">
        <is>
          <t>n/a</t>
        </is>
      </c>
      <c r="I71" s="5" t="n"/>
    </row>
    <row r="72">
      <c r="A72" s="5" t="n"/>
      <c r="B72" s="5" t="n"/>
      <c r="C72" s="5" t="inlineStr">
        <is>
          <t>Die</t>
        </is>
      </c>
      <c r="D72" s="6" t="n">
        <v>0</v>
      </c>
      <c r="E72" s="6" t="n">
        <v>0</v>
      </c>
      <c r="F72" s="6" t="n">
        <v>0</v>
      </c>
      <c r="G72" s="7" t="inlineStr">
        <is>
          <t>n/a</t>
        </is>
      </c>
      <c r="H72" s="7" t="inlineStr">
        <is>
          <t>n/a</t>
        </is>
      </c>
      <c r="I72" s="5" t="n"/>
    </row>
    <row r="73">
      <c r="A73" s="9" t="n"/>
      <c r="B73" s="9" t="n"/>
      <c r="C73" s="9" t="inlineStr">
        <is>
          <t>TOTAL (excl die)</t>
        </is>
      </c>
      <c r="D73" s="10" t="n">
        <v>1752.98</v>
      </c>
      <c r="E73" s="10" t="n">
        <v>1651.78</v>
      </c>
      <c r="F73" s="10" t="n">
        <v>2148.89</v>
      </c>
      <c r="G73" s="11" t="inlineStr">
        <is>
          <t>-18%</t>
        </is>
      </c>
      <c r="H73" s="11" t="inlineStr">
        <is>
          <t>-23%</t>
        </is>
      </c>
      <c r="I73" s="9" t="n"/>
      <c r="J73" s="12" t="n"/>
    </row>
    <row r="74">
      <c r="A74" s="5" t="n"/>
      <c r="B74" s="5" t="n"/>
      <c r="I74" s="5" t="n"/>
    </row>
    <row r="75">
      <c r="A75" s="4" t="n">
        <v>235289</v>
      </c>
      <c r="B75" s="4" t="inlineStr">
        <is>
          <t>RW-260806-110857 / 222548</t>
        </is>
      </c>
      <c r="C75" s="5" t="inlineStr">
        <is>
          <t>Material</t>
        </is>
      </c>
      <c r="D75" s="6" t="n">
        <v>120.45</v>
      </c>
      <c r="E75" s="6" t="n">
        <v>89.05</v>
      </c>
      <c r="F75" s="6" t="n">
        <v>65.13</v>
      </c>
      <c r="G75" s="7" t="inlineStr">
        <is>
          <t>+85%</t>
        </is>
      </c>
      <c r="H75" s="7" t="inlineStr">
        <is>
          <t>+37%</t>
        </is>
      </c>
      <c r="I75" s="7" t="inlineStr"/>
      <c r="J75" s="8" t="n"/>
    </row>
    <row r="76">
      <c r="A76" s="5" t="n"/>
      <c r="B76" s="5" t="n"/>
      <c r="C76" s="5" t="inlineStr">
        <is>
          <t>Print</t>
        </is>
      </c>
      <c r="D76" s="6" t="n">
        <v>138.34</v>
      </c>
      <c r="E76" s="6" t="n">
        <v>150.59</v>
      </c>
      <c r="F76" s="6" t="n">
        <v>560.25</v>
      </c>
      <c r="G76" s="7" t="inlineStr">
        <is>
          <t>-75%</t>
        </is>
      </c>
      <c r="H76" s="7" t="inlineStr">
        <is>
          <t>-73%</t>
        </is>
      </c>
      <c r="I76" s="5" t="n"/>
    </row>
    <row r="77">
      <c r="A77" s="5" t="n"/>
      <c r="B77" s="5" t="n"/>
      <c r="C77" s="5" t="inlineStr">
        <is>
          <t>Cutting</t>
        </is>
      </c>
      <c r="D77" s="6" t="n">
        <v>175.43</v>
      </c>
      <c r="E77" s="6" t="n">
        <v>322.37</v>
      </c>
      <c r="F77" s="6" t="n">
        <v>168.06</v>
      </c>
      <c r="G77" s="7" t="inlineStr">
        <is>
          <t>+4%</t>
        </is>
      </c>
      <c r="H77" s="7" t="inlineStr">
        <is>
          <t>+92%</t>
        </is>
      </c>
      <c r="I77" s="5" t="n"/>
    </row>
    <row r="78">
      <c r="A78" s="5" t="n"/>
      <c r="B78" s="5" t="n"/>
      <c r="C78" s="5" t="inlineStr">
        <is>
          <t>Handwork</t>
        </is>
      </c>
      <c r="D78" s="6" t="n">
        <v>7.65</v>
      </c>
      <c r="E78" s="6" t="n">
        <v>0</v>
      </c>
      <c r="F78" s="6" t="n">
        <v>0</v>
      </c>
      <c r="G78" s="7" t="inlineStr">
        <is>
          <t>n/a</t>
        </is>
      </c>
      <c r="H78" s="7" t="inlineStr">
        <is>
          <t>n/a</t>
        </is>
      </c>
      <c r="I78" s="5" t="n"/>
    </row>
    <row r="79">
      <c r="A79" s="5" t="n"/>
      <c r="B79" s="5" t="n"/>
      <c r="C79" s="5" t="inlineStr">
        <is>
          <t>Die</t>
        </is>
      </c>
      <c r="D79" s="6" t="n">
        <v>0</v>
      </c>
      <c r="E79" s="6" t="n">
        <v>0</v>
      </c>
      <c r="F79" s="6" t="n">
        <v>0</v>
      </c>
      <c r="G79" s="7" t="inlineStr">
        <is>
          <t>n/a</t>
        </is>
      </c>
      <c r="H79" s="7" t="inlineStr">
        <is>
          <t>n/a</t>
        </is>
      </c>
      <c r="I79" s="5" t="n"/>
    </row>
    <row r="80">
      <c r="A80" s="9" t="n"/>
      <c r="B80" s="9" t="n"/>
      <c r="C80" s="9" t="inlineStr">
        <is>
          <t>TOTAL (excl die)</t>
        </is>
      </c>
      <c r="D80" s="10" t="n">
        <v>441.87</v>
      </c>
      <c r="E80" s="10" t="n">
        <v>562.01</v>
      </c>
      <c r="F80" s="10" t="n">
        <v>793.4400000000001</v>
      </c>
      <c r="G80" s="11" t="inlineStr">
        <is>
          <t>-44%</t>
        </is>
      </c>
      <c r="H80" s="11" t="inlineStr">
        <is>
          <t>-29%</t>
        </is>
      </c>
      <c r="I80" s="9" t="n"/>
      <c r="J80" s="12" t="n"/>
    </row>
    <row r="81">
      <c r="A81" s="5" t="n"/>
      <c r="B81" s="5" t="n"/>
      <c r="I81" s="5" t="n"/>
    </row>
    <row r="82">
      <c r="A82" s="4" t="n">
        <v>235448</v>
      </c>
      <c r="B82" s="4" t="inlineStr">
        <is>
          <t>RW-260806-113829 / 222657</t>
        </is>
      </c>
      <c r="C82" s="5" t="inlineStr">
        <is>
          <t>Material</t>
        </is>
      </c>
      <c r="D82" s="6" t="n">
        <v>177.57</v>
      </c>
      <c r="E82" s="6" t="n">
        <v>129.5</v>
      </c>
      <c r="F82" s="6" t="n">
        <v>149.84</v>
      </c>
      <c r="G82" s="7" t="inlineStr">
        <is>
          <t>+19%</t>
        </is>
      </c>
      <c r="H82" s="7" t="inlineStr">
        <is>
          <t>-14%</t>
        </is>
      </c>
      <c r="I82" s="7" t="inlineStr"/>
      <c r="J82" s="8" t="n"/>
    </row>
    <row r="83">
      <c r="A83" s="5" t="n"/>
      <c r="B83" s="5" t="n"/>
      <c r="C83" s="5" t="inlineStr">
        <is>
          <t>Print</t>
        </is>
      </c>
      <c r="D83" s="6" t="n">
        <v>180.82</v>
      </c>
      <c r="E83" s="6" t="n">
        <v>140.81</v>
      </c>
      <c r="F83" s="6" t="n">
        <v>281.56</v>
      </c>
      <c r="G83" s="7" t="inlineStr">
        <is>
          <t>-36%</t>
        </is>
      </c>
      <c r="H83" s="7" t="inlineStr">
        <is>
          <t>-50%</t>
        </is>
      </c>
      <c r="I83" s="5" t="n"/>
    </row>
    <row r="84">
      <c r="A84" s="5" t="n"/>
      <c r="B84" s="5" t="n"/>
      <c r="C84" s="5" t="inlineStr">
        <is>
          <t>Cutting</t>
        </is>
      </c>
      <c r="D84" s="6" t="n">
        <v>65.04000000000001</v>
      </c>
      <c r="E84" s="6" t="n">
        <v>57.3</v>
      </c>
      <c r="F84" s="6" t="n">
        <v>135.96</v>
      </c>
      <c r="G84" s="7" t="inlineStr">
        <is>
          <t>-52%</t>
        </is>
      </c>
      <c r="H84" s="7" t="inlineStr">
        <is>
          <t>-58%</t>
        </is>
      </c>
      <c r="I84" s="5" t="n"/>
    </row>
    <row r="85">
      <c r="A85" s="5" t="n"/>
      <c r="B85" s="5" t="n"/>
      <c r="C85" s="5" t="inlineStr">
        <is>
          <t>Handwork</t>
        </is>
      </c>
      <c r="D85" s="6" t="n">
        <v>34.5</v>
      </c>
      <c r="E85" s="6" t="n">
        <v>40</v>
      </c>
      <c r="F85" s="6" t="n">
        <v>0</v>
      </c>
      <c r="G85" s="7" t="inlineStr">
        <is>
          <t>n/a</t>
        </is>
      </c>
      <c r="H85" s="7" t="inlineStr">
        <is>
          <t>n/a</t>
        </is>
      </c>
      <c r="I85" s="5" t="n"/>
    </row>
    <row r="86">
      <c r="A86" s="5" t="n"/>
      <c r="B86" s="5" t="n"/>
      <c r="C86" s="5" t="inlineStr">
        <is>
          <t>Die</t>
        </is>
      </c>
      <c r="D86" s="6" t="n">
        <v>0</v>
      </c>
      <c r="E86" s="6" t="n">
        <v>0</v>
      </c>
      <c r="F86" s="6" t="n">
        <v>0</v>
      </c>
      <c r="G86" s="7" t="inlineStr">
        <is>
          <t>n/a</t>
        </is>
      </c>
      <c r="H86" s="7" t="inlineStr">
        <is>
          <t>n/a</t>
        </is>
      </c>
      <c r="I86" s="5" t="n"/>
    </row>
    <row r="87">
      <c r="A87" s="9" t="n"/>
      <c r="B87" s="9" t="n"/>
      <c r="C87" s="9" t="inlineStr">
        <is>
          <t>TOTAL (excl die)</t>
        </is>
      </c>
      <c r="D87" s="10" t="n">
        <v>457.93</v>
      </c>
      <c r="E87" s="10" t="n">
        <v>367.61</v>
      </c>
      <c r="F87" s="10" t="n">
        <v>567.36</v>
      </c>
      <c r="G87" s="11" t="inlineStr">
        <is>
          <t>-19%</t>
        </is>
      </c>
      <c r="H87" s="11" t="inlineStr">
        <is>
          <t>-35%</t>
        </is>
      </c>
      <c r="I87" s="9" t="n"/>
      <c r="J87" s="12" t="n"/>
    </row>
    <row r="88">
      <c r="A88" s="5" t="n"/>
      <c r="B88" s="5" t="n"/>
      <c r="I88" s="5" t="n"/>
    </row>
    <row r="89">
      <c r="A89" s="4" t="n">
        <v>235580</v>
      </c>
      <c r="B89" s="4" t="inlineStr">
        <is>
          <t>RW-260806-114526 / 222718</t>
        </is>
      </c>
      <c r="C89" s="5" t="inlineStr">
        <is>
          <t>Material</t>
        </is>
      </c>
      <c r="D89" s="6" t="n">
        <v>161.77</v>
      </c>
      <c r="E89" s="6" t="n">
        <v>150.81</v>
      </c>
      <c r="F89" s="6" t="n">
        <v>131.86</v>
      </c>
      <c r="G89" s="7" t="inlineStr">
        <is>
          <t>+23%</t>
        </is>
      </c>
      <c r="H89" s="7" t="inlineStr">
        <is>
          <t>+14%</t>
        </is>
      </c>
      <c r="I89" s="7" t="inlineStr"/>
      <c r="J89" s="8" t="n"/>
    </row>
    <row r="90">
      <c r="A90" s="5" t="n"/>
      <c r="B90" s="5" t="n"/>
      <c r="C90" s="5" t="inlineStr">
        <is>
          <t>Print</t>
        </is>
      </c>
      <c r="D90" s="6" t="n">
        <v>206.23</v>
      </c>
      <c r="E90" s="6" t="n">
        <v>127.61</v>
      </c>
      <c r="F90" s="6" t="n">
        <v>288.48</v>
      </c>
      <c r="G90" s="7" t="inlineStr">
        <is>
          <t>-29%</t>
        </is>
      </c>
      <c r="H90" s="7" t="inlineStr">
        <is>
          <t>-56%</t>
        </is>
      </c>
      <c r="I90" s="5" t="n"/>
    </row>
    <row r="91">
      <c r="A91" s="5" t="n"/>
      <c r="B91" s="5" t="n"/>
      <c r="C91" s="5" t="inlineStr">
        <is>
          <t>Cutting</t>
        </is>
      </c>
      <c r="D91" s="6" t="n">
        <v>189.2</v>
      </c>
      <c r="E91" s="6" t="n">
        <v>200.02</v>
      </c>
      <c r="F91" s="6" t="n">
        <v>484.45</v>
      </c>
      <c r="G91" s="7" t="inlineStr">
        <is>
          <t>-61%</t>
        </is>
      </c>
      <c r="H91" s="7" t="inlineStr">
        <is>
          <t>-59%</t>
        </is>
      </c>
      <c r="I91" s="5" t="n"/>
    </row>
    <row r="92">
      <c r="A92" s="5" t="n"/>
      <c r="B92" s="5" t="n"/>
      <c r="C92" s="5" t="inlineStr">
        <is>
          <t>Handwork</t>
        </is>
      </c>
      <c r="D92" s="6" t="n">
        <v>0</v>
      </c>
      <c r="E92" s="6" t="n">
        <v>0</v>
      </c>
      <c r="F92" s="6" t="n">
        <v>0</v>
      </c>
      <c r="G92" s="7" t="inlineStr">
        <is>
          <t>n/a</t>
        </is>
      </c>
      <c r="H92" s="7" t="inlineStr">
        <is>
          <t>n/a</t>
        </is>
      </c>
      <c r="I92" s="5" t="n"/>
    </row>
    <row r="93">
      <c r="A93" s="5" t="n"/>
      <c r="B93" s="5" t="n"/>
      <c r="C93" s="5" t="inlineStr">
        <is>
          <t>Die</t>
        </is>
      </c>
      <c r="D93" s="6" t="n">
        <v>0</v>
      </c>
      <c r="E93" s="6" t="n">
        <v>0</v>
      </c>
      <c r="F93" s="6" t="n">
        <v>0</v>
      </c>
      <c r="G93" s="7" t="inlineStr">
        <is>
          <t>n/a</t>
        </is>
      </c>
      <c r="H93" s="7" t="inlineStr">
        <is>
          <t>n/a</t>
        </is>
      </c>
      <c r="I93" s="5" t="n"/>
    </row>
    <row r="94">
      <c r="A94" s="9" t="n"/>
      <c r="B94" s="9" t="n"/>
      <c r="C94" s="9" t="inlineStr">
        <is>
          <t>TOTAL (excl die)</t>
        </is>
      </c>
      <c r="D94" s="10" t="n">
        <v>557.2</v>
      </c>
      <c r="E94" s="10" t="n">
        <v>478.44</v>
      </c>
      <c r="F94" s="10" t="n">
        <v>904.79</v>
      </c>
      <c r="G94" s="11" t="inlineStr">
        <is>
          <t>-38%</t>
        </is>
      </c>
      <c r="H94" s="11" t="inlineStr">
        <is>
          <t>-47%</t>
        </is>
      </c>
      <c r="I94" s="9" t="n"/>
      <c r="J94" s="12" t="n"/>
    </row>
    <row r="95">
      <c r="A95" s="5" t="n"/>
      <c r="B95" s="5" t="n"/>
      <c r="I95" s="5" t="n"/>
    </row>
    <row r="96">
      <c r="A96" s="4" t="n">
        <v>236327</v>
      </c>
      <c r="B96" s="4" t="inlineStr">
        <is>
          <t>RW-260806-132503 / 222762</t>
        </is>
      </c>
      <c r="C96" s="5" t="inlineStr">
        <is>
          <t>Material</t>
        </is>
      </c>
      <c r="D96" s="6" t="n">
        <v>109.25</v>
      </c>
      <c r="E96" s="6" t="n">
        <v>81.68000000000001</v>
      </c>
      <c r="F96" s="6" t="n">
        <v>80.83</v>
      </c>
      <c r="G96" s="7" t="inlineStr">
        <is>
          <t>+35%</t>
        </is>
      </c>
      <c r="H96" s="7" t="inlineStr">
        <is>
          <t>+1%</t>
        </is>
      </c>
      <c r="I96" s="7" t="inlineStr"/>
      <c r="J96" s="8" t="n"/>
    </row>
    <row r="97">
      <c r="A97" s="5" t="n"/>
      <c r="B97" s="5" t="n"/>
      <c r="C97" s="5" t="inlineStr">
        <is>
          <t>Print</t>
        </is>
      </c>
      <c r="D97" s="6" t="n">
        <v>134.5</v>
      </c>
      <c r="E97" s="6" t="n">
        <v>88.56999999999999</v>
      </c>
      <c r="F97" s="6" t="n">
        <v>251.07</v>
      </c>
      <c r="G97" s="7" t="inlineStr">
        <is>
          <t>-46%</t>
        </is>
      </c>
      <c r="H97" s="7" t="inlineStr">
        <is>
          <t>-65%</t>
        </is>
      </c>
      <c r="I97" s="5" t="n"/>
    </row>
    <row r="98">
      <c r="A98" s="5" t="n"/>
      <c r="B98" s="5" t="n"/>
      <c r="C98" s="5" t="inlineStr">
        <is>
          <t>Cutting</t>
        </is>
      </c>
      <c r="D98" s="6" t="n">
        <v>141.37</v>
      </c>
      <c r="E98" s="6" t="n">
        <v>139.52</v>
      </c>
      <c r="F98" s="6" t="n">
        <v>145.64</v>
      </c>
      <c r="G98" s="7" t="inlineStr">
        <is>
          <t>-3%</t>
        </is>
      </c>
      <c r="H98" s="7" t="inlineStr">
        <is>
          <t>-4%</t>
        </is>
      </c>
      <c r="I98" s="5" t="n"/>
    </row>
    <row r="99">
      <c r="A99" s="5" t="n"/>
      <c r="B99" s="5" t="n"/>
      <c r="C99" s="5" t="inlineStr">
        <is>
          <t>Handwork</t>
        </is>
      </c>
      <c r="D99" s="6" t="n">
        <v>57.5</v>
      </c>
      <c r="E99" s="6" t="n">
        <v>60</v>
      </c>
      <c r="F99" s="6" t="n">
        <v>0</v>
      </c>
      <c r="G99" s="7" t="inlineStr">
        <is>
          <t>n/a</t>
        </is>
      </c>
      <c r="H99" s="7" t="inlineStr">
        <is>
          <t>n/a</t>
        </is>
      </c>
      <c r="I99" s="5" t="n"/>
    </row>
    <row r="100">
      <c r="A100" s="5" t="n"/>
      <c r="B100" s="5" t="n"/>
      <c r="C100" s="5" t="inlineStr">
        <is>
          <t>Die</t>
        </is>
      </c>
      <c r="D100" s="6" t="n">
        <v>0</v>
      </c>
      <c r="E100" s="6" t="n">
        <v>0</v>
      </c>
      <c r="F100" s="6" t="n">
        <v>0</v>
      </c>
      <c r="G100" s="7" t="inlineStr">
        <is>
          <t>n/a</t>
        </is>
      </c>
      <c r="H100" s="7" t="inlineStr">
        <is>
          <t>n/a</t>
        </is>
      </c>
      <c r="I100" s="5" t="n"/>
    </row>
    <row r="101">
      <c r="A101" s="9" t="n"/>
      <c r="B101" s="9" t="n"/>
      <c r="C101" s="9" t="inlineStr">
        <is>
          <t>TOTAL (excl die)</t>
        </is>
      </c>
      <c r="D101" s="10" t="n">
        <v>442.62</v>
      </c>
      <c r="E101" s="10" t="n">
        <v>369.78</v>
      </c>
      <c r="F101" s="10" t="n">
        <v>477.54</v>
      </c>
      <c r="G101" s="11" t="inlineStr">
        <is>
          <t>-7%</t>
        </is>
      </c>
      <c r="H101" s="11" t="inlineStr">
        <is>
          <t>-23%</t>
        </is>
      </c>
      <c r="I101" s="9" t="n"/>
      <c r="J101" s="12" t="n"/>
    </row>
    <row r="102">
      <c r="A102" s="5" t="n"/>
      <c r="B102" s="5" t="n"/>
      <c r="I102" s="5" t="n"/>
    </row>
    <row r="103">
      <c r="A103" s="4" t="n">
        <v>235917</v>
      </c>
      <c r="B103" s="4" t="inlineStr">
        <is>
          <t>RW-260806-132924 / 222769</t>
        </is>
      </c>
      <c r="C103" s="5" t="inlineStr">
        <is>
          <t>Material</t>
        </is>
      </c>
      <c r="D103" s="6" t="n">
        <v>164.25</v>
      </c>
      <c r="E103" s="6" t="n">
        <v>134.07</v>
      </c>
      <c r="F103" s="6" t="n">
        <v>134.07</v>
      </c>
      <c r="G103" s="7" t="inlineStr">
        <is>
          <t>+23%</t>
        </is>
      </c>
      <c r="H103" s="7" t="inlineStr">
        <is>
          <t>-0%</t>
        </is>
      </c>
      <c r="I103" s="7" t="inlineStr"/>
      <c r="J103" s="8" t="n"/>
    </row>
    <row r="104">
      <c r="A104" s="5" t="n"/>
      <c r="B104" s="5" t="n"/>
      <c r="C104" s="5" t="inlineStr">
        <is>
          <t>Print</t>
        </is>
      </c>
      <c r="D104" s="6" t="n">
        <v>147.57</v>
      </c>
      <c r="E104" s="6" t="n">
        <v>99.06999999999999</v>
      </c>
      <c r="F104" s="6" t="n">
        <v>188.11</v>
      </c>
      <c r="G104" s="7" t="inlineStr">
        <is>
          <t>-22%</t>
        </is>
      </c>
      <c r="H104" s="7" t="inlineStr">
        <is>
          <t>-47%</t>
        </is>
      </c>
      <c r="I104" s="5" t="n"/>
    </row>
    <row r="105">
      <c r="A105" s="5" t="n"/>
      <c r="B105" s="5" t="n"/>
      <c r="C105" s="5" t="inlineStr">
        <is>
          <t>Cutting</t>
        </is>
      </c>
      <c r="D105" s="6" t="n">
        <v>78.06999999999999</v>
      </c>
      <c r="E105" s="6" t="n">
        <v>72.26000000000001</v>
      </c>
      <c r="F105" s="6" t="n">
        <v>183.6</v>
      </c>
      <c r="G105" s="7" t="inlineStr">
        <is>
          <t>-57%</t>
        </is>
      </c>
      <c r="H105" s="7" t="inlineStr">
        <is>
          <t>-61%</t>
        </is>
      </c>
      <c r="I105" s="5" t="n"/>
    </row>
    <row r="106">
      <c r="A106" s="5" t="n"/>
      <c r="B106" s="5" t="n"/>
      <c r="C106" s="5" t="inlineStr">
        <is>
          <t>Handwork</t>
        </is>
      </c>
      <c r="D106" s="6" t="n">
        <v>0</v>
      </c>
      <c r="E106" s="6" t="n">
        <v>0</v>
      </c>
      <c r="F106" s="6" t="n">
        <v>0</v>
      </c>
      <c r="G106" s="7" t="inlineStr">
        <is>
          <t>n/a</t>
        </is>
      </c>
      <c r="H106" s="7" t="inlineStr">
        <is>
          <t>n/a</t>
        </is>
      </c>
      <c r="I106" s="5" t="n"/>
    </row>
    <row r="107">
      <c r="A107" s="5" t="n"/>
      <c r="B107" s="5" t="n"/>
      <c r="C107" s="5" t="inlineStr">
        <is>
          <t>Die</t>
        </is>
      </c>
      <c r="D107" s="6" t="n">
        <v>0</v>
      </c>
      <c r="E107" s="6" t="n">
        <v>0</v>
      </c>
      <c r="F107" s="6" t="n">
        <v>0</v>
      </c>
      <c r="G107" s="7" t="inlineStr">
        <is>
          <t>n/a</t>
        </is>
      </c>
      <c r="H107" s="7" t="inlineStr">
        <is>
          <t>n/a</t>
        </is>
      </c>
      <c r="I107" s="5" t="n"/>
    </row>
    <row r="108">
      <c r="A108" s="9" t="n"/>
      <c r="B108" s="9" t="n"/>
      <c r="C108" s="9" t="inlineStr">
        <is>
          <t>TOTAL (excl die)</t>
        </is>
      </c>
      <c r="D108" s="10" t="n">
        <v>389.89</v>
      </c>
      <c r="E108" s="10" t="n">
        <v>305.4</v>
      </c>
      <c r="F108" s="10" t="n">
        <v>505.78</v>
      </c>
      <c r="G108" s="11" t="inlineStr">
        <is>
          <t>-23%</t>
        </is>
      </c>
      <c r="H108" s="11" t="inlineStr">
        <is>
          <t>-40%</t>
        </is>
      </c>
      <c r="I108" s="9" t="n"/>
      <c r="J108" s="12" t="n"/>
    </row>
    <row r="109">
      <c r="A109" s="5" t="n"/>
      <c r="B109" s="5" t="n"/>
      <c r="I109" s="5" t="n"/>
    </row>
    <row r="110">
      <c r="A110" s="4" t="n">
        <v>235952</v>
      </c>
      <c r="B110" s="4" t="inlineStr">
        <is>
          <t>RW-260806-155021 / 222800</t>
        </is>
      </c>
      <c r="C110" s="5" t="inlineStr">
        <is>
          <t>Material</t>
        </is>
      </c>
      <c r="D110" s="6" t="n">
        <v>138.72</v>
      </c>
      <c r="E110" s="6" t="n">
        <v>112.45</v>
      </c>
      <c r="F110" s="6" t="n">
        <v>143.17</v>
      </c>
      <c r="G110" s="7" t="inlineStr">
        <is>
          <t>-3%</t>
        </is>
      </c>
      <c r="H110" s="7" t="inlineStr">
        <is>
          <t>-21%</t>
        </is>
      </c>
      <c r="I110" s="7" t="inlineStr"/>
      <c r="J110" s="8" t="n"/>
    </row>
    <row r="111">
      <c r="A111" s="5" t="n"/>
      <c r="B111" s="5" t="n"/>
      <c r="C111" s="5" t="inlineStr">
        <is>
          <t>Print</t>
        </is>
      </c>
      <c r="D111" s="6" t="n">
        <v>198.04</v>
      </c>
      <c r="E111" s="6" t="n">
        <v>111.97</v>
      </c>
      <c r="F111" s="6" t="n">
        <v>290.34</v>
      </c>
      <c r="G111" s="7" t="inlineStr">
        <is>
          <t>-32%</t>
        </is>
      </c>
      <c r="H111" s="7" t="inlineStr">
        <is>
          <t>-61%</t>
        </is>
      </c>
      <c r="I111" s="5" t="n"/>
    </row>
    <row r="112">
      <c r="A112" s="5" t="n"/>
      <c r="B112" s="5" t="n"/>
      <c r="C112" s="5" t="inlineStr">
        <is>
          <t>Cutting</t>
        </is>
      </c>
      <c r="D112" s="6" t="n">
        <v>114.49</v>
      </c>
      <c r="E112" s="6" t="n">
        <v>115.14</v>
      </c>
      <c r="F112" s="6" t="n">
        <v>251.82</v>
      </c>
      <c r="G112" s="7" t="inlineStr">
        <is>
          <t>-55%</t>
        </is>
      </c>
      <c r="H112" s="7" t="inlineStr">
        <is>
          <t>-54%</t>
        </is>
      </c>
      <c r="I112" s="5" t="n"/>
    </row>
    <row r="113">
      <c r="A113" s="5" t="n"/>
      <c r="B113" s="5" t="n"/>
      <c r="C113" s="5" t="inlineStr">
        <is>
          <t>Handwork</t>
        </is>
      </c>
      <c r="D113" s="6" t="n">
        <v>28.75</v>
      </c>
      <c r="E113" s="6" t="n">
        <v>35</v>
      </c>
      <c r="F113" s="6" t="n">
        <v>0</v>
      </c>
      <c r="G113" s="7" t="inlineStr">
        <is>
          <t>n/a</t>
        </is>
      </c>
      <c r="H113" s="7" t="inlineStr">
        <is>
          <t>n/a</t>
        </is>
      </c>
      <c r="I113" s="5" t="n"/>
    </row>
    <row r="114">
      <c r="A114" s="5" t="n"/>
      <c r="B114" s="5" t="n"/>
      <c r="C114" s="5" t="inlineStr">
        <is>
          <t>Die</t>
        </is>
      </c>
      <c r="D114" s="6" t="n">
        <v>0</v>
      </c>
      <c r="E114" s="6" t="n">
        <v>0</v>
      </c>
      <c r="F114" s="6" t="n">
        <v>0</v>
      </c>
      <c r="G114" s="7" t="inlineStr">
        <is>
          <t>n/a</t>
        </is>
      </c>
      <c r="H114" s="7" t="inlineStr">
        <is>
          <t>n/a</t>
        </is>
      </c>
      <c r="I114" s="5" t="n"/>
    </row>
    <row r="115">
      <c r="A115" s="9" t="n"/>
      <c r="B115" s="9" t="n"/>
      <c r="C115" s="9" t="inlineStr">
        <is>
          <t>TOTAL (excl die)</t>
        </is>
      </c>
      <c r="D115" s="10" t="n">
        <v>480</v>
      </c>
      <c r="E115" s="10" t="n">
        <v>374.57</v>
      </c>
      <c r="F115" s="10" t="n">
        <v>685.33</v>
      </c>
      <c r="G115" s="11" t="inlineStr">
        <is>
          <t>-30%</t>
        </is>
      </c>
      <c r="H115" s="11" t="inlineStr">
        <is>
          <t>-45%</t>
        </is>
      </c>
      <c r="I115" s="9" t="n"/>
      <c r="J115" s="12" t="n"/>
    </row>
    <row r="116">
      <c r="A116" s="5" t="n"/>
      <c r="B116" s="5" t="n"/>
      <c r="I116" s="5" t="n"/>
    </row>
    <row r="117">
      <c r="A117" s="4" t="n">
        <v>235787</v>
      </c>
      <c r="B117" s="4" t="inlineStr">
        <is>
          <t>RW-260806-160530 / 222817</t>
        </is>
      </c>
      <c r="C117" s="5" t="inlineStr">
        <is>
          <t>Material</t>
        </is>
      </c>
      <c r="D117" s="6" t="n">
        <v>668.3</v>
      </c>
      <c r="E117" s="6" t="n">
        <v>607.05</v>
      </c>
      <c r="F117" s="6" t="n">
        <v>766.16</v>
      </c>
      <c r="G117" s="7" t="inlineStr">
        <is>
          <t>-13%</t>
        </is>
      </c>
      <c r="H117" s="7" t="inlineStr">
        <is>
          <t>-21%</t>
        </is>
      </c>
      <c r="I117" s="7" t="inlineStr"/>
      <c r="J117" s="8" t="n"/>
    </row>
    <row r="118">
      <c r="A118" s="5" t="n"/>
      <c r="B118" s="5" t="n"/>
      <c r="C118" s="5" t="inlineStr">
        <is>
          <t>Print</t>
        </is>
      </c>
      <c r="D118" s="6" t="n">
        <v>921.3099999999999</v>
      </c>
      <c r="E118" s="6" t="n">
        <v>584.3</v>
      </c>
      <c r="F118" s="6" t="n">
        <v>1079.1</v>
      </c>
      <c r="G118" s="7" t="inlineStr">
        <is>
          <t>-15%</t>
        </is>
      </c>
      <c r="H118" s="7" t="inlineStr">
        <is>
          <t>-46%</t>
        </is>
      </c>
      <c r="I118" s="5" t="n"/>
    </row>
    <row r="119">
      <c r="A119" s="5" t="n"/>
      <c r="B119" s="5" t="n"/>
      <c r="C119" s="5" t="inlineStr">
        <is>
          <t>Cutting</t>
        </is>
      </c>
      <c r="D119" s="6" t="n">
        <v>367.88</v>
      </c>
      <c r="E119" s="6" t="n">
        <v>800.12</v>
      </c>
      <c r="F119" s="6" t="n">
        <v>498.64</v>
      </c>
      <c r="G119" s="7" t="inlineStr">
        <is>
          <t>-26%</t>
        </is>
      </c>
      <c r="H119" s="7" t="inlineStr">
        <is>
          <t>+60%</t>
        </is>
      </c>
      <c r="I119" s="5" t="n"/>
    </row>
    <row r="120">
      <c r="A120" s="5" t="n"/>
      <c r="B120" s="5" t="n"/>
      <c r="C120" s="5" t="inlineStr">
        <is>
          <t>Handwork</t>
        </is>
      </c>
      <c r="D120" s="6" t="n">
        <v>57.5</v>
      </c>
      <c r="E120" s="6" t="n">
        <v>60</v>
      </c>
      <c r="F120" s="6" t="n">
        <v>0</v>
      </c>
      <c r="G120" s="7" t="inlineStr">
        <is>
          <t>n/a</t>
        </is>
      </c>
      <c r="H120" s="7" t="inlineStr">
        <is>
          <t>n/a</t>
        </is>
      </c>
      <c r="I120" s="5" t="n"/>
    </row>
    <row r="121">
      <c r="A121" s="5" t="n"/>
      <c r="B121" s="5" t="n"/>
      <c r="C121" s="5" t="inlineStr">
        <is>
          <t>Die</t>
        </is>
      </c>
      <c r="D121" s="6" t="n">
        <v>0</v>
      </c>
      <c r="E121" s="6" t="n">
        <v>0</v>
      </c>
      <c r="F121" s="6" t="n">
        <v>0</v>
      </c>
      <c r="G121" s="7" t="inlineStr">
        <is>
          <t>n/a</t>
        </is>
      </c>
      <c r="H121" s="7" t="inlineStr">
        <is>
          <t>n/a</t>
        </is>
      </c>
      <c r="I121" s="5" t="n"/>
    </row>
    <row r="122">
      <c r="A122" s="9" t="n"/>
      <c r="B122" s="9" t="n"/>
      <c r="C122" s="9" t="inlineStr">
        <is>
          <t>TOTAL (excl die)</t>
        </is>
      </c>
      <c r="D122" s="10" t="n">
        <v>2014.99</v>
      </c>
      <c r="E122" s="10" t="n">
        <v>2051.47</v>
      </c>
      <c r="F122" s="10" t="n">
        <v>2343.9</v>
      </c>
      <c r="G122" s="11" t="inlineStr">
        <is>
          <t>-14%</t>
        </is>
      </c>
      <c r="H122" s="11" t="inlineStr">
        <is>
          <t>-12%</t>
        </is>
      </c>
      <c r="I122" s="9" t="n"/>
      <c r="J122" s="12" t="n"/>
    </row>
    <row r="123">
      <c r="A123" s="5" t="n"/>
      <c r="B123" s="5" t="n"/>
      <c r="I123" s="5" t="n"/>
    </row>
    <row r="124">
      <c r="A124" s="4" t="n">
        <v>235785</v>
      </c>
      <c r="B124" s="4" t="inlineStr">
        <is>
          <t>RW-260806-160923 / 222848</t>
        </is>
      </c>
      <c r="C124" s="5" t="inlineStr">
        <is>
          <t>Material</t>
        </is>
      </c>
      <c r="D124" s="6" t="n">
        <v>120.45</v>
      </c>
      <c r="E124" s="6" t="n">
        <v>97.56</v>
      </c>
      <c r="F124" s="6" t="n">
        <v>97.56</v>
      </c>
      <c r="G124" s="7" t="inlineStr">
        <is>
          <t>+23%</t>
        </is>
      </c>
      <c r="H124" s="7" t="inlineStr">
        <is>
          <t>+0%</t>
        </is>
      </c>
      <c r="I124" s="7" t="inlineStr"/>
      <c r="J124" s="8" t="n"/>
    </row>
    <row r="125">
      <c r="A125" s="5" t="n"/>
      <c r="B125" s="5" t="n"/>
      <c r="C125" s="5" t="inlineStr">
        <is>
          <t>Print</t>
        </is>
      </c>
      <c r="D125" s="6" t="n">
        <v>138.34</v>
      </c>
      <c r="E125" s="6" t="n">
        <v>104.28</v>
      </c>
      <c r="F125" s="6" t="n">
        <v>187.14</v>
      </c>
      <c r="G125" s="7" t="inlineStr">
        <is>
          <t>-26%</t>
        </is>
      </c>
      <c r="H125" s="7" t="inlineStr">
        <is>
          <t>-44%</t>
        </is>
      </c>
      <c r="I125" s="5" t="n"/>
    </row>
    <row r="126">
      <c r="A126" s="5" t="n"/>
      <c r="B126" s="5" t="n"/>
      <c r="C126" s="5" t="inlineStr">
        <is>
          <t>Cutting</t>
        </is>
      </c>
      <c r="D126" s="6" t="n">
        <v>185.53</v>
      </c>
      <c r="E126" s="6" t="n">
        <v>338.77</v>
      </c>
      <c r="F126" s="6" t="n">
        <v>253.09</v>
      </c>
      <c r="G126" s="7" t="inlineStr">
        <is>
          <t>-27%</t>
        </is>
      </c>
      <c r="H126" s="7" t="inlineStr">
        <is>
          <t>+34%</t>
        </is>
      </c>
      <c r="I126" s="5" t="n"/>
    </row>
    <row r="127">
      <c r="A127" s="5" t="n"/>
      <c r="B127" s="5" t="n"/>
      <c r="C127" s="5" t="inlineStr">
        <is>
          <t>Handwork</t>
        </is>
      </c>
      <c r="D127" s="6" t="n">
        <v>0</v>
      </c>
      <c r="E127" s="6" t="n">
        <v>0</v>
      </c>
      <c r="F127" s="6" t="n">
        <v>0</v>
      </c>
      <c r="G127" s="7" t="inlineStr">
        <is>
          <t>n/a</t>
        </is>
      </c>
      <c r="H127" s="7" t="inlineStr">
        <is>
          <t>n/a</t>
        </is>
      </c>
      <c r="I127" s="5" t="n"/>
    </row>
    <row r="128">
      <c r="A128" s="5" t="n"/>
      <c r="B128" s="5" t="n"/>
      <c r="C128" s="5" t="inlineStr">
        <is>
          <t>Die</t>
        </is>
      </c>
      <c r="D128" s="6" t="n">
        <v>0</v>
      </c>
      <c r="E128" s="6" t="n">
        <v>0</v>
      </c>
      <c r="F128" s="6" t="n">
        <v>0</v>
      </c>
      <c r="G128" s="7" t="inlineStr">
        <is>
          <t>n/a</t>
        </is>
      </c>
      <c r="H128" s="7" t="inlineStr">
        <is>
          <t>n/a</t>
        </is>
      </c>
      <c r="I128" s="5" t="n"/>
    </row>
    <row r="129">
      <c r="A129" s="9" t="n"/>
      <c r="B129" s="9" t="n"/>
      <c r="C129" s="9" t="inlineStr">
        <is>
          <t>TOTAL (excl die)</t>
        </is>
      </c>
      <c r="D129" s="10" t="n">
        <v>444.32</v>
      </c>
      <c r="E129" s="10" t="n">
        <v>540.61</v>
      </c>
      <c r="F129" s="10" t="n">
        <v>537.79</v>
      </c>
      <c r="G129" s="11" t="inlineStr">
        <is>
          <t>-17%</t>
        </is>
      </c>
      <c r="H129" s="11" t="inlineStr">
        <is>
          <t>+1%</t>
        </is>
      </c>
      <c r="I129" s="9" t="n"/>
      <c r="J129" s="12" t="n"/>
    </row>
    <row r="130">
      <c r="A130" s="5" t="n"/>
      <c r="B130" s="5" t="n"/>
      <c r="I130" s="5" t="n"/>
    </row>
    <row r="131">
      <c r="A131" s="4" t="n">
        <v>236330</v>
      </c>
      <c r="B131" s="4" t="inlineStr">
        <is>
          <t>RW-260807-081531 / 222972</t>
        </is>
      </c>
      <c r="C131" s="5" t="inlineStr">
        <is>
          <t>Material</t>
        </is>
      </c>
      <c r="D131" s="6" t="n">
        <v>98.90000000000001</v>
      </c>
      <c r="E131" s="6" t="n">
        <v>86.42</v>
      </c>
      <c r="F131" s="6" t="n">
        <v>80.95</v>
      </c>
      <c r="G131" s="7" t="inlineStr">
        <is>
          <t>+22%</t>
        </is>
      </c>
      <c r="H131" s="7" t="inlineStr">
        <is>
          <t>+7%</t>
        </is>
      </c>
      <c r="I131" s="7" t="inlineStr"/>
      <c r="J131" s="8" t="n"/>
    </row>
    <row r="132">
      <c r="A132" s="5" t="n"/>
      <c r="B132" s="5" t="n"/>
      <c r="C132" s="5" t="inlineStr">
        <is>
          <t>Print</t>
        </is>
      </c>
      <c r="D132" s="6" t="n">
        <v>165.32</v>
      </c>
      <c r="E132" s="6" t="n">
        <v>160.62</v>
      </c>
      <c r="F132" s="6" t="n">
        <v>352.68</v>
      </c>
      <c r="G132" s="7" t="inlineStr">
        <is>
          <t>-53%</t>
        </is>
      </c>
      <c r="H132" s="7" t="inlineStr">
        <is>
          <t>-54%</t>
        </is>
      </c>
      <c r="I132" s="5" t="n"/>
    </row>
    <row r="133">
      <c r="A133" s="5" t="n"/>
      <c r="B133" s="5" t="n"/>
      <c r="C133" s="5" t="inlineStr">
        <is>
          <t>Cutting</t>
        </is>
      </c>
      <c r="D133" s="6" t="n">
        <v>61.7</v>
      </c>
      <c r="E133" s="6" t="n">
        <v>56.07</v>
      </c>
      <c r="F133" s="6" t="n">
        <v>61.62</v>
      </c>
      <c r="G133" s="7" t="inlineStr">
        <is>
          <t>+0%</t>
        </is>
      </c>
      <c r="H133" s="7" t="inlineStr">
        <is>
          <t>-9%</t>
        </is>
      </c>
      <c r="I133" s="5" t="n"/>
    </row>
    <row r="134">
      <c r="A134" s="5" t="n"/>
      <c r="B134" s="5" t="n"/>
      <c r="C134" s="5" t="inlineStr">
        <is>
          <t>Handwork</t>
        </is>
      </c>
      <c r="D134" s="6" t="n">
        <v>23</v>
      </c>
      <c r="E134" s="6" t="n">
        <v>22</v>
      </c>
      <c r="F134" s="6" t="n">
        <v>33.92</v>
      </c>
      <c r="G134" s="7" t="inlineStr">
        <is>
          <t>-32%</t>
        </is>
      </c>
      <c r="H134" s="7" t="inlineStr">
        <is>
          <t>-35%</t>
        </is>
      </c>
      <c r="I134" s="5" t="n"/>
    </row>
    <row r="135">
      <c r="A135" s="5" t="n"/>
      <c r="B135" s="5" t="n"/>
      <c r="C135" s="5" t="inlineStr">
        <is>
          <t>Die</t>
        </is>
      </c>
      <c r="D135" s="6" t="n">
        <v>0</v>
      </c>
      <c r="E135" s="6" t="n">
        <v>0</v>
      </c>
      <c r="F135" s="6" t="n">
        <v>0</v>
      </c>
      <c r="G135" s="7" t="inlineStr">
        <is>
          <t>n/a</t>
        </is>
      </c>
      <c r="H135" s="7" t="inlineStr">
        <is>
          <t>n/a</t>
        </is>
      </c>
      <c r="I135" s="5" t="n"/>
    </row>
    <row r="136">
      <c r="A136" s="9" t="n"/>
      <c r="B136" s="9" t="n"/>
      <c r="C136" s="9" t="inlineStr">
        <is>
          <t>TOTAL (excl die)</t>
        </is>
      </c>
      <c r="D136" s="10" t="n">
        <v>348.92</v>
      </c>
      <c r="E136" s="10" t="n">
        <v>325.11</v>
      </c>
      <c r="F136" s="10" t="n">
        <v>529.17</v>
      </c>
      <c r="G136" s="11" t="inlineStr">
        <is>
          <t>-34%</t>
        </is>
      </c>
      <c r="H136" s="11" t="inlineStr">
        <is>
          <t>-39%</t>
        </is>
      </c>
      <c r="I136" s="9" t="n"/>
      <c r="J136" s="12" t="n"/>
    </row>
    <row r="137">
      <c r="A137" s="5" t="n"/>
      <c r="B137" s="5" t="n"/>
      <c r="I137" s="5" t="n"/>
    </row>
    <row r="138">
      <c r="A138" s="4" t="n">
        <v>236123</v>
      </c>
      <c r="B138" s="4" t="inlineStr">
        <is>
          <t>RW-260807-132555 / 223105</t>
        </is>
      </c>
      <c r="C138" s="5" t="inlineStr">
        <is>
          <t>Material</t>
        </is>
      </c>
      <c r="D138" s="6" t="n">
        <v>56.88</v>
      </c>
      <c r="E138" s="6" t="n">
        <v>37.42</v>
      </c>
      <c r="F138" s="6" t="n">
        <v>37.12</v>
      </c>
      <c r="G138" s="7" t="inlineStr">
        <is>
          <t>+53%</t>
        </is>
      </c>
      <c r="H138" s="7" t="inlineStr">
        <is>
          <t>+1%</t>
        </is>
      </c>
      <c r="I138" s="7" t="inlineStr"/>
      <c r="J138" s="8" t="n"/>
    </row>
    <row r="139">
      <c r="A139" s="5" t="n"/>
      <c r="B139" s="5" t="n"/>
      <c r="C139" s="5" t="inlineStr">
        <is>
          <t>Print</t>
        </is>
      </c>
      <c r="D139" s="6" t="n">
        <v>86.09999999999999</v>
      </c>
      <c r="E139" s="6" t="n">
        <v>81.79000000000001</v>
      </c>
      <c r="F139" s="6" t="n">
        <v>121.36</v>
      </c>
      <c r="G139" s="7" t="inlineStr">
        <is>
          <t>-29%</t>
        </is>
      </c>
      <c r="H139" s="7" t="inlineStr">
        <is>
          <t>-33%</t>
        </is>
      </c>
      <c r="I139" s="5" t="n"/>
    </row>
    <row r="140">
      <c r="A140" s="5" t="n"/>
      <c r="B140" s="5" t="n"/>
      <c r="C140" s="5" t="inlineStr">
        <is>
          <t>Cutting</t>
        </is>
      </c>
      <c r="D140" s="6" t="n">
        <v>59.49</v>
      </c>
      <c r="E140" s="6" t="n">
        <v>66.28</v>
      </c>
      <c r="F140" s="6" t="n">
        <v>168</v>
      </c>
      <c r="G140" s="7" t="inlineStr">
        <is>
          <t>-65%</t>
        </is>
      </c>
      <c r="H140" s="7" t="inlineStr">
        <is>
          <t>-61%</t>
        </is>
      </c>
      <c r="I140" s="5" t="n"/>
    </row>
    <row r="141">
      <c r="A141" s="5" t="n"/>
      <c r="B141" s="5" t="n"/>
      <c r="C141" s="5" t="inlineStr">
        <is>
          <t>Handwork</t>
        </is>
      </c>
      <c r="D141" s="6" t="n">
        <v>0</v>
      </c>
      <c r="E141" s="6" t="n">
        <v>0</v>
      </c>
      <c r="F141" s="6" t="n">
        <v>0</v>
      </c>
      <c r="G141" s="7" t="inlineStr">
        <is>
          <t>n/a</t>
        </is>
      </c>
      <c r="H141" s="7" t="inlineStr">
        <is>
          <t>n/a</t>
        </is>
      </c>
      <c r="I141" s="5" t="n"/>
    </row>
    <row r="142">
      <c r="A142" s="5" t="n"/>
      <c r="B142" s="5" t="n"/>
      <c r="C142" s="5" t="inlineStr">
        <is>
          <t>Die</t>
        </is>
      </c>
      <c r="D142" s="6" t="n">
        <v>0</v>
      </c>
      <c r="E142" s="6" t="n">
        <v>0</v>
      </c>
      <c r="F142" s="6" t="n">
        <v>0</v>
      </c>
      <c r="G142" s="7" t="inlineStr">
        <is>
          <t>n/a</t>
        </is>
      </c>
      <c r="H142" s="7" t="inlineStr">
        <is>
          <t>n/a</t>
        </is>
      </c>
      <c r="I142" s="5" t="n"/>
    </row>
    <row r="143">
      <c r="A143" s="9" t="n"/>
      <c r="B143" s="9" t="n"/>
      <c r="C143" s="9" t="inlineStr">
        <is>
          <t>TOTAL (excl die)</t>
        </is>
      </c>
      <c r="D143" s="10" t="n">
        <v>202.47</v>
      </c>
      <c r="E143" s="10" t="n">
        <v>185.48</v>
      </c>
      <c r="F143" s="10" t="n">
        <v>326.48</v>
      </c>
      <c r="G143" s="11" t="inlineStr">
        <is>
          <t>-38%</t>
        </is>
      </c>
      <c r="H143" s="11" t="inlineStr">
        <is>
          <t>-43%</t>
        </is>
      </c>
      <c r="I143" s="9" t="n"/>
      <c r="J143" s="12" t="n"/>
    </row>
    <row r="144">
      <c r="A144" s="5" t="n"/>
      <c r="B144" s="5" t="n"/>
      <c r="I144" s="5" t="n"/>
    </row>
    <row r="145">
      <c r="A145" s="4" t="n">
        <v>236663</v>
      </c>
      <c r="B145" s="4" t="inlineStr">
        <is>
          <t>RW-260807-132828 / 223127</t>
        </is>
      </c>
      <c r="C145" s="13" t="inlineStr">
        <is>
          <t>Material</t>
        </is>
      </c>
      <c r="D145" s="14" t="n">
        <v>1912.52</v>
      </c>
      <c r="E145" s="14" t="n">
        <v>92.5</v>
      </c>
      <c r="F145" s="14" t="n">
        <v>0</v>
      </c>
      <c r="G145" s="15" t="inlineStr">
        <is>
          <t>n/a</t>
        </is>
      </c>
      <c r="H145" s="15" t="inlineStr">
        <is>
          <t>n/a</t>
        </is>
      </c>
      <c r="I145" s="16" t="inlineStr">
        <is>
          <t>YES</t>
        </is>
      </c>
      <c r="J145" s="17" t="inlineStr">
        <is>
          <t>[SPOT] SPOT Buy Min triggered for ECT 32 B 45.25x72 Sheet (663 sheets); [iQuote] Not really sure what happened in production, planned to use 32ect B-Flute Kraft/Kraft 45-1/4 corr x 72, but 0$ material costs or usage found in database?</t>
        </is>
      </c>
    </row>
    <row r="146">
      <c r="A146" s="13" t="n"/>
      <c r="B146" s="13" t="n"/>
      <c r="C146" s="13" t="inlineStr">
        <is>
          <t>Print</t>
        </is>
      </c>
      <c r="D146" s="14" t="n">
        <v>0</v>
      </c>
      <c r="E146" s="14" t="n">
        <v>0</v>
      </c>
      <c r="F146" s="14" t="n">
        <v>0</v>
      </c>
      <c r="G146" s="15" t="inlineStr">
        <is>
          <t>n/a</t>
        </is>
      </c>
      <c r="H146" s="15" t="inlineStr">
        <is>
          <t>n/a</t>
        </is>
      </c>
      <c r="I146" s="13" t="n"/>
      <c r="J146" s="18" t="n"/>
    </row>
    <row r="147">
      <c r="A147" s="13" t="n"/>
      <c r="B147" s="13" t="n"/>
      <c r="C147" s="13" t="inlineStr">
        <is>
          <t>Cutting</t>
        </is>
      </c>
      <c r="D147" s="14" t="n">
        <v>97.52</v>
      </c>
      <c r="E147" s="14" t="n">
        <v>97.18000000000001</v>
      </c>
      <c r="F147" s="14" t="n">
        <v>137.76</v>
      </c>
      <c r="G147" s="15" t="inlineStr">
        <is>
          <t>-29%</t>
        </is>
      </c>
      <c r="H147" s="15" t="inlineStr">
        <is>
          <t>-29%</t>
        </is>
      </c>
      <c r="I147" s="13" t="n"/>
      <c r="J147" s="18" t="n"/>
    </row>
    <row r="148">
      <c r="A148" s="13" t="n"/>
      <c r="B148" s="13" t="n"/>
      <c r="C148" s="13" t="inlineStr">
        <is>
          <t>Handwork</t>
        </is>
      </c>
      <c r="D148" s="14" t="n">
        <v>17.25</v>
      </c>
      <c r="E148" s="14" t="n">
        <v>25</v>
      </c>
      <c r="F148" s="14" t="n">
        <v>0</v>
      </c>
      <c r="G148" s="15" t="inlineStr">
        <is>
          <t>n/a</t>
        </is>
      </c>
      <c r="H148" s="15" t="inlineStr">
        <is>
          <t>n/a</t>
        </is>
      </c>
      <c r="I148" s="13" t="n"/>
      <c r="J148" s="18" t="n"/>
    </row>
    <row r="149">
      <c r="A149" s="13" t="n"/>
      <c r="B149" s="13" t="n"/>
      <c r="C149" s="13" t="inlineStr">
        <is>
          <t>Die</t>
        </is>
      </c>
      <c r="D149" s="14" t="n">
        <v>0</v>
      </c>
      <c r="E149" s="14" t="n">
        <v>0</v>
      </c>
      <c r="F149" s="14" t="n">
        <v>0</v>
      </c>
      <c r="G149" s="15" t="inlineStr">
        <is>
          <t>n/a</t>
        </is>
      </c>
      <c r="H149" s="15" t="inlineStr">
        <is>
          <t>n/a</t>
        </is>
      </c>
      <c r="I149" s="13" t="n"/>
      <c r="J149" s="18" t="n"/>
    </row>
    <row r="150">
      <c r="A150" s="19" t="n"/>
      <c r="B150" s="19" t="n"/>
      <c r="C150" s="19" t="inlineStr">
        <is>
          <t>TOTAL (excl die)</t>
        </is>
      </c>
      <c r="D150" s="20" t="n">
        <v>2027.29</v>
      </c>
      <c r="E150" s="20" t="n">
        <v>214.68</v>
      </c>
      <c r="F150" s="20" t="n">
        <v>137.76</v>
      </c>
      <c r="G150" s="21" t="inlineStr">
        <is>
          <t>+1372%</t>
        </is>
      </c>
      <c r="H150" s="21" t="inlineStr">
        <is>
          <t>+56%</t>
        </is>
      </c>
      <c r="I150" s="21" t="inlineStr">
        <is>
          <t>YES</t>
        </is>
      </c>
      <c r="J150" s="22" t="n"/>
    </row>
    <row r="151">
      <c r="A151" s="5" t="n"/>
      <c r="B151" s="5" t="n"/>
      <c r="I151" s="5" t="n"/>
    </row>
    <row r="152">
      <c r="A152" s="4" t="n">
        <v>236559</v>
      </c>
      <c r="B152" s="4" t="inlineStr">
        <is>
          <t>RW-260807-133446 / 223172</t>
        </is>
      </c>
      <c r="C152" s="13" t="inlineStr">
        <is>
          <t>Material</t>
        </is>
      </c>
      <c r="D152" s="14" t="n">
        <v>1913.27</v>
      </c>
      <c r="E152" s="14" t="n">
        <v>113.6</v>
      </c>
      <c r="F152" s="14" t="n">
        <v>110.56</v>
      </c>
      <c r="G152" s="15" t="inlineStr">
        <is>
          <t>+1631%</t>
        </is>
      </c>
      <c r="H152" s="15" t="inlineStr">
        <is>
          <t>+3%</t>
        </is>
      </c>
      <c r="I152" s="16" t="inlineStr">
        <is>
          <t>YES</t>
        </is>
      </c>
      <c r="J152" s="17" t="inlineStr">
        <is>
          <t>[SPOT] SPOT Buy Min triggered for ECT 32 SW C 45.25x72 Kraft/Kraft (663 sheets); Actual material was 55x76 in production (50 sheets ordered)</t>
        </is>
      </c>
    </row>
    <row r="153">
      <c r="A153" s="13" t="n"/>
      <c r="B153" s="13" t="n"/>
      <c r="C153" s="13" t="inlineStr">
        <is>
          <t>Print</t>
        </is>
      </c>
      <c r="D153" s="14" t="n">
        <v>0</v>
      </c>
      <c r="E153" s="14" t="n">
        <v>0</v>
      </c>
      <c r="F153" s="14" t="n">
        <v>0</v>
      </c>
      <c r="G153" s="15" t="inlineStr">
        <is>
          <t>n/a</t>
        </is>
      </c>
      <c r="H153" s="15" t="inlineStr">
        <is>
          <t>n/a</t>
        </is>
      </c>
      <c r="I153" s="13" t="n"/>
      <c r="J153" s="18" t="n"/>
    </row>
    <row r="154">
      <c r="A154" s="13" t="n"/>
      <c r="B154" s="13" t="n"/>
      <c r="C154" s="13" t="inlineStr">
        <is>
          <t>Cutting</t>
        </is>
      </c>
      <c r="D154" s="14" t="n">
        <v>181.26</v>
      </c>
      <c r="E154" s="14" t="n">
        <v>196.43</v>
      </c>
      <c r="F154" s="14" t="n">
        <v>201.78</v>
      </c>
      <c r="G154" s="15" t="inlineStr">
        <is>
          <t>-10%</t>
        </is>
      </c>
      <c r="H154" s="15" t="inlineStr">
        <is>
          <t>-3%</t>
        </is>
      </c>
      <c r="I154" s="13" t="n"/>
      <c r="J154" s="18" t="n"/>
    </row>
    <row r="155">
      <c r="A155" s="13" t="n"/>
      <c r="B155" s="13" t="n"/>
      <c r="C155" s="13" t="inlineStr">
        <is>
          <t>Handwork</t>
        </is>
      </c>
      <c r="D155" s="14" t="n">
        <v>34.5</v>
      </c>
      <c r="E155" s="14" t="n">
        <v>40</v>
      </c>
      <c r="F155" s="14" t="n">
        <v>0</v>
      </c>
      <c r="G155" s="15" t="inlineStr">
        <is>
          <t>n/a</t>
        </is>
      </c>
      <c r="H155" s="15" t="inlineStr">
        <is>
          <t>n/a</t>
        </is>
      </c>
      <c r="I155" s="13" t="n"/>
      <c r="J155" s="18" t="n"/>
    </row>
    <row r="156">
      <c r="A156" s="13" t="n"/>
      <c r="B156" s="13" t="n"/>
      <c r="C156" s="13" t="inlineStr">
        <is>
          <t>Die</t>
        </is>
      </c>
      <c r="D156" s="14" t="n">
        <v>0</v>
      </c>
      <c r="E156" s="14" t="n">
        <v>0</v>
      </c>
      <c r="F156" s="14" t="n">
        <v>0</v>
      </c>
      <c r="G156" s="15" t="inlineStr">
        <is>
          <t>n/a</t>
        </is>
      </c>
      <c r="H156" s="15" t="inlineStr">
        <is>
          <t>n/a</t>
        </is>
      </c>
      <c r="I156" s="13" t="n"/>
      <c r="J156" s="18" t="n"/>
    </row>
    <row r="157">
      <c r="A157" s="19" t="n"/>
      <c r="B157" s="19" t="n"/>
      <c r="C157" s="19" t="inlineStr">
        <is>
          <t>TOTAL (excl die)</t>
        </is>
      </c>
      <c r="D157" s="20" t="n">
        <v>2129.03</v>
      </c>
      <c r="E157" s="20" t="n">
        <v>350.03</v>
      </c>
      <c r="F157" s="20" t="n">
        <v>312.34</v>
      </c>
      <c r="G157" s="21" t="inlineStr">
        <is>
          <t>+582%</t>
        </is>
      </c>
      <c r="H157" s="21" t="inlineStr">
        <is>
          <t>+12%</t>
        </is>
      </c>
      <c r="I157" s="21" t="inlineStr">
        <is>
          <t>YES</t>
        </is>
      </c>
      <c r="J157" s="22" t="n"/>
    </row>
    <row r="158">
      <c r="A158" s="5" t="n"/>
      <c r="B158" s="5" t="n"/>
      <c r="I158" s="5" t="n"/>
    </row>
    <row r="159">
      <c r="A159" s="4" t="n">
        <v>236295</v>
      </c>
      <c r="B159" s="4" t="inlineStr">
        <is>
          <t>RW-260807-135507 / 223199</t>
        </is>
      </c>
      <c r="C159" s="5" t="inlineStr">
        <is>
          <t>Material</t>
        </is>
      </c>
      <c r="D159" s="6" t="n">
        <v>211.22</v>
      </c>
      <c r="E159" s="6" t="n">
        <v>204.22</v>
      </c>
      <c r="F159" s="6" t="n">
        <v>177.62</v>
      </c>
      <c r="G159" s="7" t="inlineStr">
        <is>
          <t>+19%</t>
        </is>
      </c>
      <c r="H159" s="7" t="inlineStr">
        <is>
          <t>+15%</t>
        </is>
      </c>
      <c r="I159" s="7" t="inlineStr"/>
      <c r="J159" s="8" t="n"/>
    </row>
    <row r="160">
      <c r="A160" s="5" t="n"/>
      <c r="B160" s="5" t="n"/>
      <c r="C160" s="5" t="inlineStr">
        <is>
          <t>Print</t>
        </is>
      </c>
      <c r="D160" s="6" t="n">
        <v>260.03</v>
      </c>
      <c r="E160" s="6" t="n">
        <v>161.89</v>
      </c>
      <c r="F160" s="6" t="n">
        <v>54.2</v>
      </c>
      <c r="G160" s="7" t="inlineStr">
        <is>
          <t>+380%</t>
        </is>
      </c>
      <c r="H160" s="7" t="inlineStr">
        <is>
          <t>+199%</t>
        </is>
      </c>
      <c r="I160" s="5" t="n"/>
    </row>
    <row r="161">
      <c r="A161" s="5" t="n"/>
      <c r="B161" s="5" t="n"/>
      <c r="C161" s="5" t="inlineStr">
        <is>
          <t>Cutting</t>
        </is>
      </c>
      <c r="D161" s="6" t="n">
        <v>510.97</v>
      </c>
      <c r="E161" s="6" t="n">
        <v>451.08</v>
      </c>
      <c r="F161" s="6" t="n">
        <v>0</v>
      </c>
      <c r="G161" s="7" t="inlineStr">
        <is>
          <t>n/a</t>
        </is>
      </c>
      <c r="H161" s="7" t="inlineStr">
        <is>
          <t>n/a</t>
        </is>
      </c>
      <c r="I161" s="5" t="n"/>
    </row>
    <row r="162">
      <c r="A162" s="5" t="n"/>
      <c r="B162" s="5" t="n"/>
      <c r="C162" s="5" t="inlineStr">
        <is>
          <t>Handwork</t>
        </is>
      </c>
      <c r="D162" s="6" t="n">
        <v>0</v>
      </c>
      <c r="E162" s="6" t="n">
        <v>701.27</v>
      </c>
      <c r="F162" s="6" t="n">
        <v>0</v>
      </c>
      <c r="G162" s="7" t="inlineStr">
        <is>
          <t>n/a</t>
        </is>
      </c>
      <c r="H162" s="7" t="inlineStr">
        <is>
          <t>n/a</t>
        </is>
      </c>
      <c r="I162" s="5" t="n"/>
    </row>
    <row r="163">
      <c r="A163" s="5" t="n"/>
      <c r="B163" s="5" t="n"/>
      <c r="C163" s="5" t="inlineStr">
        <is>
          <t>Die</t>
        </is>
      </c>
      <c r="D163" s="6" t="n">
        <v>0</v>
      </c>
      <c r="E163" s="6" t="n">
        <v>0</v>
      </c>
      <c r="F163" s="6" t="n">
        <v>0</v>
      </c>
      <c r="G163" s="7" t="inlineStr">
        <is>
          <t>n/a</t>
        </is>
      </c>
      <c r="H163" s="7" t="inlineStr">
        <is>
          <t>n/a</t>
        </is>
      </c>
      <c r="I163" s="5" t="n"/>
    </row>
    <row r="164">
      <c r="A164" s="9" t="n"/>
      <c r="B164" s="9" t="n"/>
      <c r="C164" s="9" t="inlineStr">
        <is>
          <t>TOTAL (excl die)</t>
        </is>
      </c>
      <c r="D164" s="10" t="n">
        <v>982.22</v>
      </c>
      <c r="E164" s="10" t="n">
        <v>1518.46</v>
      </c>
      <c r="F164" s="10" t="n">
        <v>231.82</v>
      </c>
      <c r="G164" s="11" t="inlineStr">
        <is>
          <t>+324%</t>
        </is>
      </c>
      <c r="H164" s="11" t="inlineStr">
        <is>
          <t>+555%</t>
        </is>
      </c>
      <c r="I164" s="9" t="n"/>
      <c r="J164" s="12" t="n"/>
    </row>
    <row r="165">
      <c r="A165" s="5" t="n"/>
      <c r="B165" s="5" t="n"/>
      <c r="I165" s="5" t="n"/>
    </row>
    <row r="166">
      <c r="A166" s="4" t="n">
        <v>236341</v>
      </c>
      <c r="B166" s="4" t="inlineStr">
        <is>
          <t>RW-260623-091031 / 223207</t>
        </is>
      </c>
      <c r="C166" s="5" t="inlineStr">
        <is>
          <t>Material</t>
        </is>
      </c>
      <c r="D166" s="6" t="n">
        <v>267.4</v>
      </c>
      <c r="E166" s="6" t="n">
        <v>309.62</v>
      </c>
      <c r="F166" s="6" t="n">
        <v>320.21</v>
      </c>
      <c r="G166" s="7" t="inlineStr">
        <is>
          <t>-16%</t>
        </is>
      </c>
      <c r="H166" s="7" t="inlineStr">
        <is>
          <t>-3%</t>
        </is>
      </c>
      <c r="I166" s="7" t="inlineStr"/>
      <c r="J166" s="8" t="n"/>
    </row>
    <row r="167">
      <c r="A167" s="5" t="n"/>
      <c r="B167" s="5" t="n"/>
      <c r="C167" s="5" t="inlineStr">
        <is>
          <t>Print</t>
        </is>
      </c>
      <c r="D167" s="6" t="n">
        <v>367.63</v>
      </c>
      <c r="E167" s="6" t="n">
        <v>218.57</v>
      </c>
      <c r="F167" s="6" t="n">
        <v>224.65</v>
      </c>
      <c r="G167" s="7" t="inlineStr">
        <is>
          <t>+64%</t>
        </is>
      </c>
      <c r="H167" s="7" t="inlineStr">
        <is>
          <t>-3%</t>
        </is>
      </c>
      <c r="I167" s="5" t="n"/>
    </row>
    <row r="168">
      <c r="A168" s="5" t="n"/>
      <c r="B168" s="5" t="n"/>
      <c r="C168" s="5" t="inlineStr">
        <is>
          <t>Cutting</t>
        </is>
      </c>
      <c r="D168" s="6" t="n">
        <v>407.8</v>
      </c>
      <c r="E168" s="6" t="n">
        <v>418.1</v>
      </c>
      <c r="F168" s="6" t="n">
        <v>526.88</v>
      </c>
      <c r="G168" s="7" t="inlineStr">
        <is>
          <t>-23%</t>
        </is>
      </c>
      <c r="H168" s="7" t="inlineStr">
        <is>
          <t>-21%</t>
        </is>
      </c>
      <c r="I168" s="5" t="n"/>
    </row>
    <row r="169">
      <c r="A169" s="5" t="n"/>
      <c r="B169" s="5" t="n"/>
      <c r="C169" s="5" t="inlineStr">
        <is>
          <t>Handwork</t>
        </is>
      </c>
      <c r="D169" s="6" t="n">
        <v>29.75</v>
      </c>
      <c r="E169" s="6" t="n">
        <v>56.12</v>
      </c>
      <c r="F169" s="6" t="n">
        <v>0</v>
      </c>
      <c r="G169" s="7" t="inlineStr">
        <is>
          <t>n/a</t>
        </is>
      </c>
      <c r="H169" s="7" t="inlineStr">
        <is>
          <t>n/a</t>
        </is>
      </c>
      <c r="I169" s="5" t="n"/>
    </row>
    <row r="170">
      <c r="A170" s="5" t="n"/>
      <c r="B170" s="5" t="n"/>
      <c r="C170" s="5" t="inlineStr">
        <is>
          <t>Die</t>
        </is>
      </c>
      <c r="D170" s="6" t="n">
        <v>0</v>
      </c>
      <c r="E170" s="6" t="n">
        <v>0</v>
      </c>
      <c r="F170" s="6" t="n">
        <v>1205</v>
      </c>
      <c r="G170" s="7" t="inlineStr">
        <is>
          <t>-100%</t>
        </is>
      </c>
      <c r="H170" s="7" t="inlineStr">
        <is>
          <t>-100%</t>
        </is>
      </c>
      <c r="I170" s="5" t="n"/>
    </row>
    <row r="171">
      <c r="A171" s="9" t="n"/>
      <c r="B171" s="9" t="n"/>
      <c r="C171" s="9" t="inlineStr">
        <is>
          <t>TOTAL (excl die)</t>
        </is>
      </c>
      <c r="D171" s="10" t="n">
        <v>1072.58</v>
      </c>
      <c r="E171" s="10" t="n">
        <v>1002.41</v>
      </c>
      <c r="F171" s="10" t="n">
        <v>1071.74</v>
      </c>
      <c r="G171" s="11" t="inlineStr">
        <is>
          <t>+0%</t>
        </is>
      </c>
      <c r="H171" s="11" t="inlineStr">
        <is>
          <t>-6%</t>
        </is>
      </c>
      <c r="I171" s="9" t="n"/>
      <c r="J171" s="12" t="n"/>
    </row>
    <row r="172">
      <c r="A172" s="5" t="n"/>
      <c r="B172" s="5" t="n"/>
      <c r="I172" s="5" t="n"/>
    </row>
    <row r="173">
      <c r="A173" s="4" t="n">
        <v>236355</v>
      </c>
      <c r="B173" s="4" t="inlineStr">
        <is>
          <t>RW-260727-080830 / 223209</t>
        </is>
      </c>
      <c r="C173" s="5" t="inlineStr">
        <is>
          <t>Material</t>
        </is>
      </c>
      <c r="D173" s="6" t="n">
        <v>37.42</v>
      </c>
      <c r="E173" s="6" t="n">
        <v>21.81</v>
      </c>
      <c r="F173" s="6" t="n">
        <v>10</v>
      </c>
      <c r="G173" s="7" t="inlineStr">
        <is>
          <t>+274%</t>
        </is>
      </c>
      <c r="H173" s="7" t="inlineStr">
        <is>
          <t>+118%</t>
        </is>
      </c>
      <c r="I173" s="7" t="inlineStr"/>
      <c r="J173" s="8" t="n"/>
    </row>
    <row r="174">
      <c r="A174" s="5" t="n"/>
      <c r="B174" s="5" t="n"/>
      <c r="C174" s="5" t="inlineStr">
        <is>
          <t>Print</t>
        </is>
      </c>
      <c r="D174" s="6" t="n">
        <v>60.27</v>
      </c>
      <c r="E174" s="6" t="n">
        <v>64.20999999999999</v>
      </c>
      <c r="F174" s="6" t="n">
        <v>142.18</v>
      </c>
      <c r="G174" s="7" t="inlineStr">
        <is>
          <t>-58%</t>
        </is>
      </c>
      <c r="H174" s="7" t="inlineStr">
        <is>
          <t>-55%</t>
        </is>
      </c>
      <c r="I174" s="5" t="n"/>
    </row>
    <row r="175">
      <c r="A175" s="5" t="n"/>
      <c r="B175" s="5" t="n"/>
      <c r="C175" s="5" t="inlineStr">
        <is>
          <t>Cutting</t>
        </is>
      </c>
      <c r="D175" s="6" t="n">
        <v>55.2</v>
      </c>
      <c r="E175" s="6" t="n">
        <v>36.66</v>
      </c>
      <c r="F175" s="6" t="n">
        <v>41.61</v>
      </c>
      <c r="G175" s="7" t="inlineStr">
        <is>
          <t>+33%</t>
        </is>
      </c>
      <c r="H175" s="7" t="inlineStr">
        <is>
          <t>-12%</t>
        </is>
      </c>
      <c r="I175" s="5" t="n"/>
    </row>
    <row r="176">
      <c r="A176" s="5" t="n"/>
      <c r="B176" s="5" t="n"/>
      <c r="C176" s="5" t="inlineStr">
        <is>
          <t>Handwork</t>
        </is>
      </c>
      <c r="D176" s="6" t="n">
        <v>1.43</v>
      </c>
      <c r="E176" s="6" t="n">
        <v>0</v>
      </c>
      <c r="F176" s="6" t="n">
        <v>0</v>
      </c>
      <c r="G176" s="7" t="inlineStr">
        <is>
          <t>n/a</t>
        </is>
      </c>
      <c r="H176" s="7" t="inlineStr">
        <is>
          <t>n/a</t>
        </is>
      </c>
      <c r="I176" s="5" t="n"/>
    </row>
    <row r="177">
      <c r="A177" s="5" t="n"/>
      <c r="B177" s="5" t="n"/>
      <c r="C177" s="5" t="inlineStr">
        <is>
          <t>Die</t>
        </is>
      </c>
      <c r="D177" s="6" t="n">
        <v>0</v>
      </c>
      <c r="E177" s="6" t="n">
        <v>0</v>
      </c>
      <c r="F177" s="6" t="n">
        <v>0</v>
      </c>
      <c r="G177" s="7" t="inlineStr">
        <is>
          <t>n/a</t>
        </is>
      </c>
      <c r="H177" s="7" t="inlineStr">
        <is>
          <t>n/a</t>
        </is>
      </c>
      <c r="I177" s="5" t="n"/>
    </row>
    <row r="178">
      <c r="A178" s="9" t="n"/>
      <c r="B178" s="9" t="n"/>
      <c r="C178" s="9" t="inlineStr">
        <is>
          <t>TOTAL (excl die)</t>
        </is>
      </c>
      <c r="D178" s="10" t="n">
        <v>154.32</v>
      </c>
      <c r="E178" s="10" t="n">
        <v>122.68</v>
      </c>
      <c r="F178" s="10" t="n">
        <v>193.79</v>
      </c>
      <c r="G178" s="11" t="inlineStr">
        <is>
          <t>-20%</t>
        </is>
      </c>
      <c r="H178" s="11" t="inlineStr">
        <is>
          <t>-37%</t>
        </is>
      </c>
      <c r="I178" s="9" t="n"/>
      <c r="J178" s="12" t="n"/>
    </row>
    <row r="179">
      <c r="A179" s="5" t="n"/>
      <c r="B179" s="5" t="n"/>
      <c r="I179" s="5" t="n"/>
    </row>
    <row r="180">
      <c r="A180" s="4" t="n">
        <v>236423</v>
      </c>
      <c r="B180" s="4" t="inlineStr">
        <is>
          <t>RW-260807-135919 / 223313</t>
        </is>
      </c>
      <c r="C180" s="5" t="inlineStr">
        <is>
          <t>Material</t>
        </is>
      </c>
      <c r="D180" s="6" t="n">
        <v>983.11</v>
      </c>
      <c r="E180" s="6" t="n">
        <v>690.01</v>
      </c>
      <c r="F180" s="6" t="n">
        <v>645.26</v>
      </c>
      <c r="G180" s="7" t="inlineStr">
        <is>
          <t>+52%</t>
        </is>
      </c>
      <c r="H180" s="7" t="inlineStr">
        <is>
          <t>+7%</t>
        </is>
      </c>
      <c r="I180" s="7" t="inlineStr"/>
      <c r="J180" s="8" t="n"/>
    </row>
    <row r="181">
      <c r="A181" s="5" t="n"/>
      <c r="B181" s="5" t="n"/>
      <c r="C181" s="5" t="inlineStr">
        <is>
          <t>Print</t>
        </is>
      </c>
      <c r="D181" s="6" t="n">
        <v>986.85</v>
      </c>
      <c r="E181" s="6" t="n">
        <v>846.77</v>
      </c>
      <c r="F181" s="6" t="n">
        <v>711.97</v>
      </c>
      <c r="G181" s="7" t="inlineStr">
        <is>
          <t>+39%</t>
        </is>
      </c>
      <c r="H181" s="7" t="inlineStr">
        <is>
          <t>+19%</t>
        </is>
      </c>
      <c r="I181" s="5" t="n"/>
    </row>
    <row r="182">
      <c r="A182" s="5" t="n"/>
      <c r="B182" s="5" t="n"/>
      <c r="C182" s="5" t="inlineStr">
        <is>
          <t>Cutting</t>
        </is>
      </c>
      <c r="D182" s="6" t="n">
        <v>1335.95</v>
      </c>
      <c r="E182" s="6" t="n">
        <v>258.88</v>
      </c>
      <c r="F182" s="6" t="n">
        <v>1646.52</v>
      </c>
      <c r="G182" s="7" t="inlineStr">
        <is>
          <t>-19%</t>
        </is>
      </c>
      <c r="H182" s="7" t="inlineStr">
        <is>
          <t>-84%</t>
        </is>
      </c>
      <c r="I182" s="5" t="n"/>
    </row>
    <row r="183">
      <c r="A183" s="5" t="n"/>
      <c r="B183" s="5" t="n"/>
      <c r="C183" s="5" t="inlineStr">
        <is>
          <t>Handwork</t>
        </is>
      </c>
      <c r="D183" s="6" t="n">
        <v>0</v>
      </c>
      <c r="E183" s="6" t="n">
        <v>174.39</v>
      </c>
      <c r="F183" s="6" t="n">
        <v>0</v>
      </c>
      <c r="G183" s="7" t="inlineStr">
        <is>
          <t>n/a</t>
        </is>
      </c>
      <c r="H183" s="7" t="inlineStr">
        <is>
          <t>n/a</t>
        </is>
      </c>
      <c r="I183" s="5" t="n"/>
    </row>
    <row r="184">
      <c r="A184" s="5" t="n"/>
      <c r="B184" s="5" t="n"/>
      <c r="C184" s="5" t="inlineStr">
        <is>
          <t>Die</t>
        </is>
      </c>
      <c r="D184" s="6" t="n">
        <v>0</v>
      </c>
      <c r="E184" s="6" t="n">
        <v>0</v>
      </c>
      <c r="F184" s="6" t="n">
        <v>0</v>
      </c>
      <c r="G184" s="7" t="inlineStr">
        <is>
          <t>n/a</t>
        </is>
      </c>
      <c r="H184" s="7" t="inlineStr">
        <is>
          <t>n/a</t>
        </is>
      </c>
      <c r="I184" s="5" t="n"/>
    </row>
    <row r="185">
      <c r="A185" s="9" t="n"/>
      <c r="B185" s="9" t="n"/>
      <c r="C185" s="9" t="inlineStr">
        <is>
          <t>TOTAL (excl die)</t>
        </is>
      </c>
      <c r="D185" s="10" t="n">
        <v>3305.91</v>
      </c>
      <c r="E185" s="10" t="n">
        <v>1970.05</v>
      </c>
      <c r="F185" s="10" t="n">
        <v>3003.75</v>
      </c>
      <c r="G185" s="11" t="inlineStr">
        <is>
          <t>+10%</t>
        </is>
      </c>
      <c r="H185" s="11" t="inlineStr">
        <is>
          <t>-34%</t>
        </is>
      </c>
      <c r="I185" s="9" t="n"/>
      <c r="J185" s="12" t="n"/>
    </row>
    <row r="186">
      <c r="A186" s="5" t="n"/>
      <c r="B186" s="5" t="n"/>
      <c r="I186" s="5" t="n"/>
    </row>
    <row r="187">
      <c r="A187" s="4" t="n">
        <v>236673</v>
      </c>
      <c r="B187" s="4" t="inlineStr">
        <is>
          <t>RW-260807-140331 / 223318</t>
        </is>
      </c>
      <c r="C187" s="5" t="inlineStr">
        <is>
          <t>Material</t>
        </is>
      </c>
      <c r="D187" s="6" t="n">
        <v>291.35</v>
      </c>
      <c r="E187" s="6" t="n">
        <v>263.61</v>
      </c>
      <c r="F187" s="6" t="n">
        <v>277.67</v>
      </c>
      <c r="G187" s="7" t="inlineStr">
        <is>
          <t>+5%</t>
        </is>
      </c>
      <c r="H187" s="7" t="inlineStr">
        <is>
          <t>-5%</t>
        </is>
      </c>
      <c r="I187" s="7" t="inlineStr"/>
      <c r="J187" s="8" t="n"/>
    </row>
    <row r="188">
      <c r="A188" s="5" t="n"/>
      <c r="B188" s="5" t="n"/>
      <c r="C188" s="5" t="inlineStr">
        <is>
          <t>Print</t>
        </is>
      </c>
      <c r="D188" s="6" t="n">
        <v>358.67</v>
      </c>
      <c r="E188" s="6" t="n">
        <v>310.54</v>
      </c>
      <c r="F188" s="6" t="n">
        <v>544.96</v>
      </c>
      <c r="G188" s="7" t="inlineStr">
        <is>
          <t>-34%</t>
        </is>
      </c>
      <c r="H188" s="7" t="inlineStr">
        <is>
          <t>-43%</t>
        </is>
      </c>
      <c r="I188" s="5" t="n"/>
    </row>
    <row r="189">
      <c r="A189" s="5" t="n"/>
      <c r="B189" s="5" t="n"/>
      <c r="C189" s="5" t="inlineStr">
        <is>
          <t>Cutting</t>
        </is>
      </c>
      <c r="D189" s="6" t="n">
        <v>336.54</v>
      </c>
      <c r="E189" s="6" t="n">
        <v>366.5</v>
      </c>
      <c r="F189" s="6" t="n">
        <v>715.86</v>
      </c>
      <c r="G189" s="7" t="inlineStr">
        <is>
          <t>-53%</t>
        </is>
      </c>
      <c r="H189" s="7" t="inlineStr">
        <is>
          <t>-49%</t>
        </is>
      </c>
      <c r="I189" s="5" t="n"/>
    </row>
    <row r="190">
      <c r="A190" s="5" t="n"/>
      <c r="B190" s="5" t="n"/>
      <c r="C190" s="5" t="inlineStr">
        <is>
          <t>Handwork</t>
        </is>
      </c>
      <c r="D190" s="6" t="n">
        <v>0</v>
      </c>
      <c r="E190" s="6" t="n">
        <v>0</v>
      </c>
      <c r="F190" s="6" t="n">
        <v>0</v>
      </c>
      <c r="G190" s="7" t="inlineStr">
        <is>
          <t>n/a</t>
        </is>
      </c>
      <c r="H190" s="7" t="inlineStr">
        <is>
          <t>n/a</t>
        </is>
      </c>
      <c r="I190" s="5" t="n"/>
    </row>
    <row r="191">
      <c r="A191" s="5" t="n"/>
      <c r="B191" s="5" t="n"/>
      <c r="C191" s="5" t="inlineStr">
        <is>
          <t>Die</t>
        </is>
      </c>
      <c r="D191" s="6" t="n">
        <v>0</v>
      </c>
      <c r="E191" s="6" t="n">
        <v>0</v>
      </c>
      <c r="F191" s="6" t="n">
        <v>0</v>
      </c>
      <c r="G191" s="7" t="inlineStr">
        <is>
          <t>n/a</t>
        </is>
      </c>
      <c r="H191" s="7" t="inlineStr">
        <is>
          <t>n/a</t>
        </is>
      </c>
      <c r="I191" s="5" t="n"/>
    </row>
    <row r="192">
      <c r="A192" s="9" t="n"/>
      <c r="B192" s="9" t="n"/>
      <c r="C192" s="9" t="inlineStr">
        <is>
          <t>TOTAL (excl die)</t>
        </is>
      </c>
      <c r="D192" s="10" t="n">
        <v>986.5599999999999</v>
      </c>
      <c r="E192" s="10" t="n">
        <v>940.65</v>
      </c>
      <c r="F192" s="10" t="n">
        <v>1538.49</v>
      </c>
      <c r="G192" s="11" t="inlineStr">
        <is>
          <t>-36%</t>
        </is>
      </c>
      <c r="H192" s="11" t="inlineStr">
        <is>
          <t>-39%</t>
        </is>
      </c>
      <c r="I192" s="9" t="n"/>
      <c r="J192" s="12" t="n"/>
    </row>
    <row r="193">
      <c r="A193" s="5" t="n"/>
      <c r="B193" s="5" t="n"/>
      <c r="I193" s="5" t="n"/>
    </row>
    <row r="194">
      <c r="A194" s="4" t="n">
        <v>236477</v>
      </c>
      <c r="B194" s="4" t="inlineStr">
        <is>
          <t>RW-260804-155659 / 223327</t>
        </is>
      </c>
      <c r="C194" s="13" t="inlineStr">
        <is>
          <t>Material</t>
        </is>
      </c>
      <c r="D194" s="14" t="n">
        <v>96.91</v>
      </c>
      <c r="E194" s="14" t="n">
        <v>103.17</v>
      </c>
      <c r="F194" s="14" t="n">
        <v>97.95999999999999</v>
      </c>
      <c r="G194" s="15" t="inlineStr">
        <is>
          <t>-1%</t>
        </is>
      </c>
      <c r="H194" s="15" t="inlineStr">
        <is>
          <t>+5%</t>
        </is>
      </c>
      <c r="I194" s="16" t="inlineStr">
        <is>
          <t>YES</t>
        </is>
      </c>
      <c r="J194" s="17" t="inlineStr">
        <is>
          <t>[Actual] This job was supposed to just be a cut/ship on the zund.  Could not find any actual data for the zund for setup/run; invoiced for iquote amt.</t>
        </is>
      </c>
    </row>
    <row r="195">
      <c r="A195" s="13" t="n"/>
      <c r="B195" s="13" t="n"/>
      <c r="C195" s="13" t="inlineStr">
        <is>
          <t>Print</t>
        </is>
      </c>
      <c r="D195" s="14" t="n">
        <v>0</v>
      </c>
      <c r="E195" s="14" t="n">
        <v>0</v>
      </c>
      <c r="F195" s="14" t="n">
        <v>0</v>
      </c>
      <c r="G195" s="15" t="inlineStr">
        <is>
          <t>n/a</t>
        </is>
      </c>
      <c r="H195" s="15" t="inlineStr">
        <is>
          <t>n/a</t>
        </is>
      </c>
      <c r="I195" s="13" t="n"/>
      <c r="J195" s="18" t="n"/>
    </row>
    <row r="196">
      <c r="A196" s="13" t="n"/>
      <c r="B196" s="13" t="n"/>
      <c r="C196" s="13" t="inlineStr">
        <is>
          <t>Cutting</t>
        </is>
      </c>
      <c r="D196" s="14" t="n">
        <v>352.12</v>
      </c>
      <c r="E196" s="14" t="n">
        <v>825.6</v>
      </c>
      <c r="F196" s="14" t="n">
        <v>0</v>
      </c>
      <c r="G196" s="15" t="inlineStr">
        <is>
          <t>n/a</t>
        </is>
      </c>
      <c r="H196" s="15" t="inlineStr">
        <is>
          <t>n/a</t>
        </is>
      </c>
      <c r="I196" s="13" t="n"/>
      <c r="J196" s="18" t="n"/>
    </row>
    <row r="197">
      <c r="A197" s="13" t="n"/>
      <c r="B197" s="13" t="n"/>
      <c r="C197" s="13" t="inlineStr">
        <is>
          <t>Handwork</t>
        </is>
      </c>
      <c r="D197" s="14" t="n">
        <v>19.83</v>
      </c>
      <c r="E197" s="14" t="n">
        <v>86.17</v>
      </c>
      <c r="F197" s="14" t="n">
        <v>0</v>
      </c>
      <c r="G197" s="15" t="inlineStr">
        <is>
          <t>n/a</t>
        </is>
      </c>
      <c r="H197" s="15" t="inlineStr">
        <is>
          <t>n/a</t>
        </is>
      </c>
      <c r="I197" s="13" t="n"/>
      <c r="J197" s="18" t="n"/>
    </row>
    <row r="198">
      <c r="A198" s="13" t="n"/>
      <c r="B198" s="13" t="n"/>
      <c r="C198" s="13" t="inlineStr">
        <is>
          <t>Die</t>
        </is>
      </c>
      <c r="D198" s="14" t="n">
        <v>0</v>
      </c>
      <c r="E198" s="14" t="n">
        <v>0</v>
      </c>
      <c r="F198" s="14" t="n">
        <v>0</v>
      </c>
      <c r="G198" s="15" t="inlineStr">
        <is>
          <t>n/a</t>
        </is>
      </c>
      <c r="H198" s="15" t="inlineStr">
        <is>
          <t>n/a</t>
        </is>
      </c>
      <c r="I198" s="13" t="n"/>
      <c r="J198" s="18" t="n"/>
    </row>
    <row r="199">
      <c r="A199" s="19" t="n"/>
      <c r="B199" s="19" t="n"/>
      <c r="C199" s="19" t="inlineStr">
        <is>
          <t>TOTAL (excl die)</t>
        </is>
      </c>
      <c r="D199" s="20" t="n">
        <v>468.86</v>
      </c>
      <c r="E199" s="20" t="n">
        <v>1014.94</v>
      </c>
      <c r="F199" s="20" t="n">
        <v>97.95999999999999</v>
      </c>
      <c r="G199" s="21" t="inlineStr">
        <is>
          <t>+379%</t>
        </is>
      </c>
      <c r="H199" s="21" t="inlineStr">
        <is>
          <t>+936%</t>
        </is>
      </c>
      <c r="I199" s="21" t="inlineStr">
        <is>
          <t>YES</t>
        </is>
      </c>
      <c r="J199" s="22" t="n"/>
    </row>
    <row r="200">
      <c r="A200" s="5" t="n"/>
      <c r="B200" s="5" t="n"/>
      <c r="I200" s="5" t="n"/>
    </row>
    <row r="201">
      <c r="A201" s="4" t="n">
        <v>236585</v>
      </c>
      <c r="B201" s="4" t="inlineStr">
        <is>
          <t>RW-260807-140950 / 223333</t>
        </is>
      </c>
      <c r="C201" s="5" t="inlineStr">
        <is>
          <t>Material</t>
        </is>
      </c>
      <c r="D201" s="6" t="n">
        <v>621.66</v>
      </c>
      <c r="E201" s="6" t="n">
        <v>646.5</v>
      </c>
      <c r="F201" s="6" t="n">
        <v>0</v>
      </c>
      <c r="G201" s="7" t="inlineStr">
        <is>
          <t>n/a</t>
        </is>
      </c>
      <c r="H201" s="7" t="inlineStr">
        <is>
          <t>n/a</t>
        </is>
      </c>
      <c r="I201" s="7" t="inlineStr"/>
      <c r="J201" s="8" t="n"/>
    </row>
    <row r="202">
      <c r="A202" s="5" t="n"/>
      <c r="B202" s="5" t="n"/>
      <c r="C202" s="5" t="inlineStr">
        <is>
          <t>Print</t>
        </is>
      </c>
      <c r="D202" s="6" t="n">
        <v>0</v>
      </c>
      <c r="E202" s="6" t="n">
        <v>0</v>
      </c>
      <c r="F202" s="6" t="n">
        <v>0</v>
      </c>
      <c r="G202" s="7" t="inlineStr">
        <is>
          <t>n/a</t>
        </is>
      </c>
      <c r="H202" s="7" t="inlineStr">
        <is>
          <t>n/a</t>
        </is>
      </c>
      <c r="I202" s="5" t="n"/>
    </row>
    <row r="203">
      <c r="A203" s="5" t="n"/>
      <c r="B203" s="5" t="n"/>
      <c r="C203" s="5" t="inlineStr">
        <is>
          <t>Cutting</t>
        </is>
      </c>
      <c r="D203" s="6" t="n">
        <v>676.89</v>
      </c>
      <c r="E203" s="6" t="n">
        <v>405.95</v>
      </c>
      <c r="F203" s="6" t="n">
        <v>347.88</v>
      </c>
      <c r="G203" s="7" t="inlineStr">
        <is>
          <t>+95%</t>
        </is>
      </c>
      <c r="H203" s="7" t="inlineStr">
        <is>
          <t>+17%</t>
        </is>
      </c>
      <c r="I203" s="5" t="n"/>
    </row>
    <row r="204">
      <c r="A204" s="5" t="n"/>
      <c r="B204" s="5" t="n"/>
      <c r="C204" s="5" t="inlineStr">
        <is>
          <t>Handwork</t>
        </is>
      </c>
      <c r="D204" s="6" t="n">
        <v>0</v>
      </c>
      <c r="E204" s="6" t="n">
        <v>0</v>
      </c>
      <c r="F204" s="6" t="n">
        <v>0</v>
      </c>
      <c r="G204" s="7" t="inlineStr">
        <is>
          <t>n/a</t>
        </is>
      </c>
      <c r="H204" s="7" t="inlineStr">
        <is>
          <t>n/a</t>
        </is>
      </c>
      <c r="I204" s="5" t="n"/>
    </row>
    <row r="205">
      <c r="A205" s="5" t="n"/>
      <c r="B205" s="5" t="n"/>
      <c r="C205" s="5" t="inlineStr">
        <is>
          <t>Die</t>
        </is>
      </c>
      <c r="D205" s="6" t="n">
        <v>0</v>
      </c>
      <c r="E205" s="6" t="n">
        <v>0</v>
      </c>
      <c r="F205" s="6" t="n">
        <v>0</v>
      </c>
      <c r="G205" s="7" t="inlineStr">
        <is>
          <t>n/a</t>
        </is>
      </c>
      <c r="H205" s="7" t="inlineStr">
        <is>
          <t>n/a</t>
        </is>
      </c>
      <c r="I205" s="5" t="n"/>
    </row>
    <row r="206">
      <c r="A206" s="9" t="n"/>
      <c r="B206" s="9" t="n"/>
      <c r="C206" s="9" t="inlineStr">
        <is>
          <t>TOTAL (excl die)</t>
        </is>
      </c>
      <c r="D206" s="10" t="n">
        <v>1298.55</v>
      </c>
      <c r="E206" s="10" t="n">
        <v>1052.45</v>
      </c>
      <c r="F206" s="10" t="n">
        <v>347.88</v>
      </c>
      <c r="G206" s="11" t="inlineStr">
        <is>
          <t>+273%</t>
        </is>
      </c>
      <c r="H206" s="11" t="inlineStr">
        <is>
          <t>+203%</t>
        </is>
      </c>
      <c r="I206" s="9" t="n"/>
      <c r="J206" s="12" t="n"/>
    </row>
    <row r="207">
      <c r="A207" s="5" t="n"/>
      <c r="B207" s="5" t="n"/>
      <c r="I207" s="5" t="n"/>
    </row>
    <row r="208">
      <c r="A208" s="4" t="n">
        <v>236561</v>
      </c>
      <c r="B208" s="4" t="inlineStr">
        <is>
          <t>RW-260807-141317 / 223354</t>
        </is>
      </c>
      <c r="C208" s="5" t="inlineStr">
        <is>
          <t>Material</t>
        </is>
      </c>
      <c r="D208" s="6" t="n">
        <v>91.67</v>
      </c>
      <c r="E208" s="6" t="n">
        <v>90.12</v>
      </c>
      <c r="F208" s="6" t="n">
        <v>129.48</v>
      </c>
      <c r="G208" s="7" t="inlineStr">
        <is>
          <t>-29%</t>
        </is>
      </c>
      <c r="H208" s="7" t="inlineStr">
        <is>
          <t>-30%</t>
        </is>
      </c>
      <c r="I208" s="7" t="inlineStr"/>
      <c r="J208" s="8" t="n"/>
    </row>
    <row r="209">
      <c r="A209" s="5" t="n"/>
      <c r="B209" s="5" t="n"/>
      <c r="C209" s="5" t="inlineStr">
        <is>
          <t>Print</t>
        </is>
      </c>
      <c r="D209" s="6" t="n">
        <v>157.81</v>
      </c>
      <c r="E209" s="6" t="n">
        <v>172.17</v>
      </c>
      <c r="F209" s="6" t="n">
        <v>335.13</v>
      </c>
      <c r="G209" s="7" t="inlineStr">
        <is>
          <t>-53%</t>
        </is>
      </c>
      <c r="H209" s="7" t="inlineStr">
        <is>
          <t>-49%</t>
        </is>
      </c>
      <c r="I209" s="5" t="n"/>
    </row>
    <row r="210">
      <c r="A210" s="5" t="n"/>
      <c r="B210" s="5" t="n"/>
      <c r="C210" s="5" t="inlineStr">
        <is>
          <t>Cutting</t>
        </is>
      </c>
      <c r="D210" s="6" t="n">
        <v>88.84999999999999</v>
      </c>
      <c r="E210" s="6" t="n">
        <v>84.87</v>
      </c>
      <c r="F210" s="6" t="n">
        <v>168</v>
      </c>
      <c r="G210" s="7" t="inlineStr">
        <is>
          <t>-47%</t>
        </is>
      </c>
      <c r="H210" s="7" t="inlineStr">
        <is>
          <t>-49%</t>
        </is>
      </c>
      <c r="I210" s="5" t="n"/>
    </row>
    <row r="211">
      <c r="A211" s="5" t="n"/>
      <c r="B211" s="5" t="n"/>
      <c r="C211" s="5" t="inlineStr">
        <is>
          <t>Handwork</t>
        </is>
      </c>
      <c r="D211" s="6" t="n">
        <v>0</v>
      </c>
      <c r="E211" s="6" t="n">
        <v>0</v>
      </c>
      <c r="F211" s="6" t="n">
        <v>0</v>
      </c>
      <c r="G211" s="7" t="inlineStr">
        <is>
          <t>n/a</t>
        </is>
      </c>
      <c r="H211" s="7" t="inlineStr">
        <is>
          <t>n/a</t>
        </is>
      </c>
      <c r="I211" s="5" t="n"/>
    </row>
    <row r="212">
      <c r="A212" s="5" t="n"/>
      <c r="B212" s="5" t="n"/>
      <c r="C212" s="5" t="inlineStr">
        <is>
          <t>Die</t>
        </is>
      </c>
      <c r="D212" s="6" t="n">
        <v>0</v>
      </c>
      <c r="E212" s="6" t="n">
        <v>0</v>
      </c>
      <c r="F212" s="6" t="n">
        <v>0</v>
      </c>
      <c r="G212" s="7" t="inlineStr">
        <is>
          <t>n/a</t>
        </is>
      </c>
      <c r="H212" s="7" t="inlineStr">
        <is>
          <t>n/a</t>
        </is>
      </c>
      <c r="I212" s="5" t="n"/>
    </row>
    <row r="213">
      <c r="A213" s="9" t="n"/>
      <c r="B213" s="9" t="n"/>
      <c r="C213" s="9" t="inlineStr">
        <is>
          <t>TOTAL (excl die)</t>
        </is>
      </c>
      <c r="D213" s="10" t="n">
        <v>338.33</v>
      </c>
      <c r="E213" s="10" t="n">
        <v>347.17</v>
      </c>
      <c r="F213" s="10" t="n">
        <v>632.61</v>
      </c>
      <c r="G213" s="11" t="inlineStr">
        <is>
          <t>-47%</t>
        </is>
      </c>
      <c r="H213" s="11" t="inlineStr">
        <is>
          <t>-45%</t>
        </is>
      </c>
      <c r="I213" s="9" t="n"/>
      <c r="J213" s="12" t="n"/>
    </row>
    <row r="214">
      <c r="A214" s="5" t="n"/>
      <c r="B214" s="5" t="n"/>
      <c r="I214" s="5" t="n"/>
    </row>
    <row r="215">
      <c r="A215" s="4" t="n">
        <v>236550</v>
      </c>
      <c r="B215" s="4" t="inlineStr">
        <is>
          <t>RW-260804-132826 / 223393</t>
        </is>
      </c>
      <c r="C215" s="5" t="inlineStr">
        <is>
          <t>Material</t>
        </is>
      </c>
      <c r="D215" s="6" t="n">
        <v>327.76</v>
      </c>
      <c r="E215" s="6" t="n">
        <v>299.23</v>
      </c>
      <c r="F215" s="6" t="n">
        <v>464.78</v>
      </c>
      <c r="G215" s="7" t="inlineStr">
        <is>
          <t>-29%</t>
        </is>
      </c>
      <c r="H215" s="7" t="inlineStr">
        <is>
          <t>-36%</t>
        </is>
      </c>
      <c r="I215" s="7" t="inlineStr"/>
      <c r="J215" s="8" t="n"/>
    </row>
    <row r="216">
      <c r="A216" s="5" t="n"/>
      <c r="B216" s="5" t="n"/>
      <c r="C216" s="5" t="inlineStr">
        <is>
          <t>Print</t>
        </is>
      </c>
      <c r="D216" s="6" t="n">
        <v>403.5</v>
      </c>
      <c r="E216" s="6" t="n">
        <v>328.32</v>
      </c>
      <c r="F216" s="6" t="n">
        <v>917.23</v>
      </c>
      <c r="G216" s="7" t="inlineStr">
        <is>
          <t>-56%</t>
        </is>
      </c>
      <c r="H216" s="7" t="inlineStr">
        <is>
          <t>-64%</t>
        </is>
      </c>
      <c r="I216" s="5" t="n"/>
    </row>
    <row r="217">
      <c r="A217" s="5" t="n"/>
      <c r="B217" s="5" t="n"/>
      <c r="C217" s="5" t="inlineStr">
        <is>
          <t>Cutting</t>
        </is>
      </c>
      <c r="D217" s="6" t="n">
        <v>167.17</v>
      </c>
      <c r="E217" s="6" t="n">
        <v>104.62</v>
      </c>
      <c r="F217" s="6" t="n">
        <v>248.9</v>
      </c>
      <c r="G217" s="7" t="inlineStr">
        <is>
          <t>-33%</t>
        </is>
      </c>
      <c r="H217" s="7" t="inlineStr">
        <is>
          <t>-58%</t>
        </is>
      </c>
      <c r="I217" s="5" t="n"/>
    </row>
    <row r="218">
      <c r="A218" s="5" t="n"/>
      <c r="B218" s="5" t="n"/>
      <c r="C218" s="5" t="inlineStr">
        <is>
          <t>Handwork</t>
        </is>
      </c>
      <c r="D218" s="6" t="n">
        <v>0</v>
      </c>
      <c r="E218" s="6" t="n">
        <v>0</v>
      </c>
      <c r="F218" s="6" t="n">
        <v>0</v>
      </c>
      <c r="G218" s="7" t="inlineStr">
        <is>
          <t>n/a</t>
        </is>
      </c>
      <c r="H218" s="7" t="inlineStr">
        <is>
          <t>n/a</t>
        </is>
      </c>
      <c r="I218" s="5" t="n"/>
    </row>
    <row r="219">
      <c r="A219" s="5" t="n"/>
      <c r="B219" s="5" t="n"/>
      <c r="C219" s="5" t="inlineStr">
        <is>
          <t>Die</t>
        </is>
      </c>
      <c r="D219" s="6" t="n">
        <v>0</v>
      </c>
      <c r="E219" s="6" t="n">
        <v>0</v>
      </c>
      <c r="F219" s="6" t="n">
        <v>0</v>
      </c>
      <c r="G219" s="7" t="inlineStr">
        <is>
          <t>n/a</t>
        </is>
      </c>
      <c r="H219" s="7" t="inlineStr">
        <is>
          <t>n/a</t>
        </is>
      </c>
      <c r="I219" s="5" t="n"/>
    </row>
    <row r="220">
      <c r="A220" s="9" t="n"/>
      <c r="B220" s="9" t="n"/>
      <c r="C220" s="9" t="inlineStr">
        <is>
          <t>TOTAL (excl die)</t>
        </is>
      </c>
      <c r="D220" s="10" t="n">
        <v>898.4299999999999</v>
      </c>
      <c r="E220" s="10" t="n">
        <v>732.17</v>
      </c>
      <c r="F220" s="10" t="n">
        <v>1630.91</v>
      </c>
      <c r="G220" s="11" t="inlineStr">
        <is>
          <t>-45%</t>
        </is>
      </c>
      <c r="H220" s="11" t="inlineStr">
        <is>
          <t>-55%</t>
        </is>
      </c>
      <c r="I220" s="9" t="n"/>
      <c r="J220" s="12" t="n"/>
    </row>
    <row r="221">
      <c r="A221" s="5" t="n"/>
      <c r="B221" s="5" t="n"/>
      <c r="I221" s="5" t="n"/>
    </row>
    <row r="222">
      <c r="A222" s="4" t="n">
        <v>236802</v>
      </c>
      <c r="B222" s="4" t="inlineStr">
        <is>
          <t>RW-260727-101129 / 223454</t>
        </is>
      </c>
      <c r="C222" s="5" t="inlineStr">
        <is>
          <t>Material</t>
        </is>
      </c>
      <c r="D222" s="6" t="n">
        <v>1479.09</v>
      </c>
      <c r="E222" s="6" t="n">
        <v>1507.88</v>
      </c>
      <c r="F222" s="6" t="n">
        <v>1053.17</v>
      </c>
      <c r="G222" s="7" t="inlineStr">
        <is>
          <t>+40%</t>
        </is>
      </c>
      <c r="H222" s="7" t="inlineStr">
        <is>
          <t>+43%</t>
        </is>
      </c>
      <c r="I222" s="7" t="inlineStr"/>
      <c r="J222" s="8" t="n"/>
    </row>
    <row r="223">
      <c r="A223" s="5" t="n"/>
      <c r="B223" s="5" t="n"/>
      <c r="C223" s="5" t="inlineStr">
        <is>
          <t>Print</t>
        </is>
      </c>
      <c r="D223" s="6" t="n">
        <v>2062.33</v>
      </c>
      <c r="E223" s="6" t="n">
        <v>1187.25</v>
      </c>
      <c r="F223" s="6" t="n">
        <v>1673.66</v>
      </c>
      <c r="G223" s="7" t="inlineStr">
        <is>
          <t>+23%</t>
        </is>
      </c>
      <c r="H223" s="7" t="inlineStr">
        <is>
          <t>-29%</t>
        </is>
      </c>
      <c r="I223" s="5" t="n"/>
    </row>
    <row r="224">
      <c r="A224" s="5" t="n"/>
      <c r="B224" s="5" t="n"/>
      <c r="C224" s="5" t="inlineStr">
        <is>
          <t>Cutting</t>
        </is>
      </c>
      <c r="D224" s="6" t="n">
        <v>423.38</v>
      </c>
      <c r="E224" s="6" t="n">
        <v>402.2</v>
      </c>
      <c r="F224" s="6" t="n">
        <v>839.0700000000001</v>
      </c>
      <c r="G224" s="7" t="inlineStr">
        <is>
          <t>-50%</t>
        </is>
      </c>
      <c r="H224" s="7" t="inlineStr">
        <is>
          <t>-52%</t>
        </is>
      </c>
      <c r="I224" s="5" t="n"/>
    </row>
    <row r="225">
      <c r="A225" s="5" t="n"/>
      <c r="B225" s="5" t="n"/>
      <c r="C225" s="5" t="inlineStr">
        <is>
          <t>Handwork</t>
        </is>
      </c>
      <c r="D225" s="6" t="n">
        <v>313.5</v>
      </c>
      <c r="E225" s="6" t="n">
        <v>49.09</v>
      </c>
      <c r="F225" s="6" t="n">
        <v>0</v>
      </c>
      <c r="G225" s="7" t="inlineStr">
        <is>
          <t>n/a</t>
        </is>
      </c>
      <c r="H225" s="7" t="inlineStr">
        <is>
          <t>n/a</t>
        </is>
      </c>
      <c r="I225" s="5" t="n"/>
    </row>
    <row r="226">
      <c r="A226" s="5" t="n"/>
      <c r="B226" s="5" t="n"/>
      <c r="C226" s="5" t="inlineStr">
        <is>
          <t>Die</t>
        </is>
      </c>
      <c r="D226" s="6" t="n">
        <v>1380</v>
      </c>
      <c r="E226" s="6" t="n">
        <v>0</v>
      </c>
      <c r="F226" s="6" t="n">
        <v>1293</v>
      </c>
      <c r="G226" s="7" t="inlineStr">
        <is>
          <t>+7%</t>
        </is>
      </c>
      <c r="H226" s="7" t="inlineStr">
        <is>
          <t>-100%</t>
        </is>
      </c>
      <c r="I226" s="5" t="n"/>
    </row>
    <row r="227">
      <c r="A227" s="9" t="n"/>
      <c r="B227" s="9" t="n"/>
      <c r="C227" s="9" t="inlineStr">
        <is>
          <t>TOTAL (excl die)</t>
        </is>
      </c>
      <c r="D227" s="10" t="n">
        <v>4278.3</v>
      </c>
      <c r="E227" s="10" t="n">
        <v>3146.43</v>
      </c>
      <c r="F227" s="10" t="n">
        <v>3565.9</v>
      </c>
      <c r="G227" s="11" t="inlineStr">
        <is>
          <t>+20%</t>
        </is>
      </c>
      <c r="H227" s="11" t="inlineStr">
        <is>
          <t>-12%</t>
        </is>
      </c>
      <c r="I227" s="9" t="n"/>
      <c r="J227" s="12" t="n"/>
    </row>
    <row r="228">
      <c r="A228" s="5" t="n"/>
      <c r="B228" s="5" t="n"/>
      <c r="I228" s="5" t="n"/>
    </row>
    <row r="229">
      <c r="A229" s="4" t="n">
        <v>236688</v>
      </c>
      <c r="B229" s="4" t="inlineStr">
        <is>
          <t>RW-260727-095102 / 223486</t>
        </is>
      </c>
      <c r="C229" s="5" t="inlineStr">
        <is>
          <t>Material</t>
        </is>
      </c>
      <c r="D229" s="6" t="n">
        <v>30.57</v>
      </c>
      <c r="E229" s="6" t="n">
        <v>32.71</v>
      </c>
      <c r="F229" s="6" t="n">
        <v>52.35</v>
      </c>
      <c r="G229" s="7" t="inlineStr">
        <is>
          <t>-42%</t>
        </is>
      </c>
      <c r="H229" s="7" t="inlineStr">
        <is>
          <t>-38%</t>
        </is>
      </c>
      <c r="I229" s="7" t="inlineStr"/>
      <c r="J229" s="8" t="n"/>
    </row>
    <row r="230">
      <c r="A230" s="5" t="n"/>
      <c r="B230" s="5" t="n"/>
      <c r="C230" s="5" t="inlineStr">
        <is>
          <t>Print</t>
        </is>
      </c>
      <c r="D230" s="6" t="n">
        <v>0</v>
      </c>
      <c r="E230" s="6" t="n">
        <v>0</v>
      </c>
      <c r="F230" s="6" t="n">
        <v>0</v>
      </c>
      <c r="G230" s="7" t="inlineStr">
        <is>
          <t>n/a</t>
        </is>
      </c>
      <c r="H230" s="7" t="inlineStr">
        <is>
          <t>n/a</t>
        </is>
      </c>
      <c r="I230" s="5" t="n"/>
    </row>
    <row r="231">
      <c r="A231" s="5" t="n"/>
      <c r="B231" s="5" t="n"/>
      <c r="C231" s="5" t="inlineStr">
        <is>
          <t>Cutting</t>
        </is>
      </c>
      <c r="D231" s="6" t="n">
        <v>93.84</v>
      </c>
      <c r="E231" s="6" t="n">
        <v>81.45</v>
      </c>
      <c r="F231" s="6" t="n">
        <v>154.48</v>
      </c>
      <c r="G231" s="7" t="inlineStr">
        <is>
          <t>-39%</t>
        </is>
      </c>
      <c r="H231" s="7" t="inlineStr">
        <is>
          <t>-47%</t>
        </is>
      </c>
      <c r="I231" s="5" t="n"/>
    </row>
    <row r="232">
      <c r="A232" s="5" t="n"/>
      <c r="B232" s="5" t="n"/>
      <c r="C232" s="5" t="inlineStr">
        <is>
          <t>Handwork</t>
        </is>
      </c>
      <c r="D232" s="6" t="n">
        <v>3.4</v>
      </c>
      <c r="E232" s="6" t="n">
        <v>0</v>
      </c>
      <c r="F232" s="6" t="n">
        <v>0</v>
      </c>
      <c r="G232" s="7" t="inlineStr">
        <is>
          <t>n/a</t>
        </is>
      </c>
      <c r="H232" s="7" t="inlineStr">
        <is>
          <t>n/a</t>
        </is>
      </c>
      <c r="I232" s="5" t="n"/>
    </row>
    <row r="233">
      <c r="A233" s="5" t="n"/>
      <c r="B233" s="5" t="n"/>
      <c r="C233" s="5" t="inlineStr">
        <is>
          <t>Die</t>
        </is>
      </c>
      <c r="D233" s="6" t="n">
        <v>0</v>
      </c>
      <c r="E233" s="6" t="n">
        <v>0</v>
      </c>
      <c r="F233" s="6" t="n">
        <v>0</v>
      </c>
      <c r="G233" s="7" t="inlineStr">
        <is>
          <t>n/a</t>
        </is>
      </c>
      <c r="H233" s="7" t="inlineStr">
        <is>
          <t>n/a</t>
        </is>
      </c>
      <c r="I233" s="5" t="n"/>
    </row>
    <row r="234">
      <c r="A234" s="9" t="n"/>
      <c r="B234" s="9" t="n"/>
      <c r="C234" s="9" t="inlineStr">
        <is>
          <t>TOTAL (excl die)</t>
        </is>
      </c>
      <c r="D234" s="10" t="n">
        <v>127.81</v>
      </c>
      <c r="E234" s="10" t="n">
        <v>114.16</v>
      </c>
      <c r="F234" s="10" t="n">
        <v>206.83</v>
      </c>
      <c r="G234" s="11" t="inlineStr">
        <is>
          <t>-38%</t>
        </is>
      </c>
      <c r="H234" s="11" t="inlineStr">
        <is>
          <t>-45%</t>
        </is>
      </c>
      <c r="I234" s="9" t="n"/>
      <c r="J234" s="12" t="n"/>
    </row>
    <row r="235">
      <c r="A235" s="5" t="n"/>
      <c r="B235" s="5" t="n"/>
      <c r="I235" s="5" t="n"/>
    </row>
    <row r="236">
      <c r="A236" s="4" t="n">
        <v>236822</v>
      </c>
      <c r="B236" s="4" t="inlineStr">
        <is>
          <t>RW-260727-144121 / 223575</t>
        </is>
      </c>
      <c r="C236" s="5" t="inlineStr">
        <is>
          <t>Material</t>
        </is>
      </c>
      <c r="D236" s="6" t="n">
        <v>161.77</v>
      </c>
      <c r="E236" s="6" t="n">
        <v>159.99</v>
      </c>
      <c r="F236" s="6" t="n">
        <v>143.33</v>
      </c>
      <c r="G236" s="7" t="inlineStr">
        <is>
          <t>+13%</t>
        </is>
      </c>
      <c r="H236" s="7" t="inlineStr">
        <is>
          <t>+12%</t>
        </is>
      </c>
      <c r="I236" s="7" t="inlineStr"/>
      <c r="J236" s="8" t="n"/>
    </row>
    <row r="237">
      <c r="A237" s="5" t="n"/>
      <c r="B237" s="5" t="n"/>
      <c r="C237" s="5" t="inlineStr">
        <is>
          <t>Print</t>
        </is>
      </c>
      <c r="D237" s="6" t="n">
        <v>206.23</v>
      </c>
      <c r="E237" s="6" t="n">
        <v>127.61</v>
      </c>
      <c r="F237" s="6" t="n">
        <v>636.61</v>
      </c>
      <c r="G237" s="7" t="inlineStr">
        <is>
          <t>-68%</t>
        </is>
      </c>
      <c r="H237" s="7" t="inlineStr">
        <is>
          <t>-80%</t>
        </is>
      </c>
      <c r="I237" s="5" t="n"/>
    </row>
    <row r="238">
      <c r="A238" s="5" t="n"/>
      <c r="B238" s="5" t="n"/>
      <c r="C238" s="5" t="inlineStr">
        <is>
          <t>Cutting</t>
        </is>
      </c>
      <c r="D238" s="6" t="n">
        <v>189.2</v>
      </c>
      <c r="E238" s="6" t="n">
        <v>200.02</v>
      </c>
      <c r="F238" s="6" t="n">
        <v>146.48</v>
      </c>
      <c r="G238" s="7" t="inlineStr">
        <is>
          <t>+29%</t>
        </is>
      </c>
      <c r="H238" s="7" t="inlineStr">
        <is>
          <t>+37%</t>
        </is>
      </c>
      <c r="I238" s="5" t="n"/>
    </row>
    <row r="239">
      <c r="A239" s="5" t="n"/>
      <c r="B239" s="5" t="n"/>
      <c r="C239" s="5" t="inlineStr">
        <is>
          <t>Handwork</t>
        </is>
      </c>
      <c r="D239" s="6" t="n">
        <v>0</v>
      </c>
      <c r="E239" s="6" t="n">
        <v>0</v>
      </c>
      <c r="F239" s="6" t="n">
        <v>0</v>
      </c>
      <c r="G239" s="7" t="inlineStr">
        <is>
          <t>n/a</t>
        </is>
      </c>
      <c r="H239" s="7" t="inlineStr">
        <is>
          <t>n/a</t>
        </is>
      </c>
      <c r="I239" s="5" t="n"/>
    </row>
    <row r="240">
      <c r="A240" s="5" t="n"/>
      <c r="B240" s="5" t="n"/>
      <c r="C240" s="5" t="inlineStr">
        <is>
          <t>Die</t>
        </is>
      </c>
      <c r="D240" s="6" t="n">
        <v>0</v>
      </c>
      <c r="E240" s="6" t="n">
        <v>0</v>
      </c>
      <c r="F240" s="6" t="n">
        <v>0</v>
      </c>
      <c r="G240" s="7" t="inlineStr">
        <is>
          <t>n/a</t>
        </is>
      </c>
      <c r="H240" s="7" t="inlineStr">
        <is>
          <t>n/a</t>
        </is>
      </c>
      <c r="I240" s="5" t="n"/>
    </row>
    <row r="241">
      <c r="A241" s="9" t="n"/>
      <c r="B241" s="9" t="n"/>
      <c r="C241" s="9" t="inlineStr">
        <is>
          <t>TOTAL (excl die)</t>
        </is>
      </c>
      <c r="D241" s="10" t="n">
        <v>557.2</v>
      </c>
      <c r="E241" s="10" t="n">
        <v>487.62</v>
      </c>
      <c r="F241" s="10" t="n">
        <v>926.42</v>
      </c>
      <c r="G241" s="11" t="inlineStr">
        <is>
          <t>-40%</t>
        </is>
      </c>
      <c r="H241" s="11" t="inlineStr">
        <is>
          <t>-47%</t>
        </is>
      </c>
      <c r="I241" s="9" t="n"/>
      <c r="J241" s="12" t="n"/>
    </row>
    <row r="242">
      <c r="A242" s="5" t="n"/>
      <c r="B242" s="5" t="n"/>
      <c r="I242" s="5" t="n"/>
    </row>
    <row r="243">
      <c r="A243" s="4" t="n">
        <v>236942</v>
      </c>
      <c r="B243" s="4" t="inlineStr">
        <is>
          <t>RW-260722-090416 / 223590</t>
        </is>
      </c>
      <c r="C243" s="5" t="inlineStr">
        <is>
          <t>Material</t>
        </is>
      </c>
      <c r="D243" s="6" t="n">
        <v>152.57</v>
      </c>
      <c r="E243" s="6" t="n">
        <v>125.68</v>
      </c>
      <c r="F243" s="6" t="n">
        <v>331.51</v>
      </c>
      <c r="G243" s="7" t="inlineStr">
        <is>
          <t>-54%</t>
        </is>
      </c>
      <c r="H243" s="7" t="inlineStr">
        <is>
          <t>-62%</t>
        </is>
      </c>
      <c r="I243" s="7" t="inlineStr"/>
      <c r="J243" s="8" t="n"/>
    </row>
    <row r="244">
      <c r="A244" s="5" t="n"/>
      <c r="B244" s="5" t="n"/>
      <c r="C244" s="5" t="inlineStr">
        <is>
          <t>Print</t>
        </is>
      </c>
      <c r="D244" s="6" t="n">
        <v>175.24</v>
      </c>
      <c r="E244" s="6" t="n">
        <v>157.62</v>
      </c>
      <c r="F244" s="6" t="n">
        <v>325.92</v>
      </c>
      <c r="G244" s="7" t="inlineStr">
        <is>
          <t>-46%</t>
        </is>
      </c>
      <c r="H244" s="7" t="inlineStr">
        <is>
          <t>-52%</t>
        </is>
      </c>
      <c r="I244" s="5" t="n"/>
    </row>
    <row r="245">
      <c r="A245" s="5" t="n"/>
      <c r="B245" s="5" t="n"/>
      <c r="C245" s="5" t="inlineStr">
        <is>
          <t>Cutting</t>
        </is>
      </c>
      <c r="D245" s="6" t="n">
        <v>132.76</v>
      </c>
      <c r="E245" s="6" t="n">
        <v>134.69</v>
      </c>
      <c r="F245" s="6" t="n">
        <v>163.34</v>
      </c>
      <c r="G245" s="7" t="inlineStr">
        <is>
          <t>-19%</t>
        </is>
      </c>
      <c r="H245" s="7" t="inlineStr">
        <is>
          <t>-18%</t>
        </is>
      </c>
      <c r="I245" s="5" t="n"/>
    </row>
    <row r="246">
      <c r="A246" s="5" t="n"/>
      <c r="B246" s="5" t="n"/>
      <c r="C246" s="5" t="inlineStr">
        <is>
          <t>Handwork</t>
        </is>
      </c>
      <c r="D246" s="6" t="n">
        <v>39.8</v>
      </c>
      <c r="E246" s="6" t="n">
        <v>35</v>
      </c>
      <c r="F246" s="6" t="n">
        <v>0</v>
      </c>
      <c r="G246" s="7" t="inlineStr">
        <is>
          <t>n/a</t>
        </is>
      </c>
      <c r="H246" s="7" t="inlineStr">
        <is>
          <t>n/a</t>
        </is>
      </c>
      <c r="I246" s="5" t="n"/>
    </row>
    <row r="247">
      <c r="A247" s="5" t="n"/>
      <c r="B247" s="5" t="n"/>
      <c r="C247" s="5" t="inlineStr">
        <is>
          <t>Die</t>
        </is>
      </c>
      <c r="D247" s="6" t="n">
        <v>0</v>
      </c>
      <c r="E247" s="6" t="n">
        <v>0</v>
      </c>
      <c r="F247" s="6" t="n">
        <v>0</v>
      </c>
      <c r="G247" s="7" t="inlineStr">
        <is>
          <t>n/a</t>
        </is>
      </c>
      <c r="H247" s="7" t="inlineStr">
        <is>
          <t>n/a</t>
        </is>
      </c>
      <c r="I247" s="5" t="n"/>
    </row>
    <row r="248">
      <c r="A248" s="9" t="n"/>
      <c r="B248" s="9" t="n"/>
      <c r="C248" s="9" t="inlineStr">
        <is>
          <t>TOTAL (excl die)</t>
        </is>
      </c>
      <c r="D248" s="10" t="n">
        <v>500.37</v>
      </c>
      <c r="E248" s="10" t="n">
        <v>452.99</v>
      </c>
      <c r="F248" s="10" t="n">
        <v>820.77</v>
      </c>
      <c r="G248" s="11" t="inlineStr">
        <is>
          <t>-39%</t>
        </is>
      </c>
      <c r="H248" s="11" t="inlineStr">
        <is>
          <t>-45%</t>
        </is>
      </c>
      <c r="I248" s="9" t="n"/>
      <c r="J248" s="12" t="n"/>
    </row>
    <row r="249">
      <c r="A249" s="5" t="n"/>
      <c r="B249" s="5" t="n"/>
      <c r="I249" s="5" t="n"/>
    </row>
    <row r="250">
      <c r="A250" s="4" t="n">
        <v>236943</v>
      </c>
      <c r="B250" s="4" t="inlineStr">
        <is>
          <t>RW-260722-082345 / 223591</t>
        </is>
      </c>
      <c r="C250" s="13" t="inlineStr">
        <is>
          <t>Material</t>
        </is>
      </c>
      <c r="D250" s="14" t="n">
        <v>1841.01</v>
      </c>
      <c r="E250" s="14" t="n">
        <v>794.2</v>
      </c>
      <c r="F250" s="14" t="n">
        <v>2272.71</v>
      </c>
      <c r="G250" s="15" t="inlineStr">
        <is>
          <t>-19%</t>
        </is>
      </c>
      <c r="H250" s="15" t="inlineStr">
        <is>
          <t>-65%</t>
        </is>
      </c>
      <c r="I250" s="16" t="inlineStr">
        <is>
          <t>YES</t>
        </is>
      </c>
      <c r="J250" s="17" t="inlineStr">
        <is>
          <t>[iQuote] actual was cut on kongsburg</t>
        </is>
      </c>
    </row>
    <row r="251">
      <c r="A251" s="13" t="n"/>
      <c r="B251" s="13" t="n"/>
      <c r="C251" s="13" t="inlineStr">
        <is>
          <t>Print</t>
        </is>
      </c>
      <c r="D251" s="14" t="n">
        <v>2331.33</v>
      </c>
      <c r="E251" s="14" t="n">
        <v>801.39</v>
      </c>
      <c r="F251" s="14" t="n">
        <v>4041.83</v>
      </c>
      <c r="G251" s="15" t="inlineStr">
        <is>
          <t>-42%</t>
        </is>
      </c>
      <c r="H251" s="15" t="inlineStr">
        <is>
          <t>-80%</t>
        </is>
      </c>
      <c r="I251" s="13" t="n"/>
      <c r="J251" s="18" t="n"/>
    </row>
    <row r="252">
      <c r="A252" s="13" t="n"/>
      <c r="B252" s="13" t="n"/>
      <c r="C252" s="13" t="inlineStr">
        <is>
          <t>Cutting</t>
        </is>
      </c>
      <c r="D252" s="14" t="n">
        <v>461.58</v>
      </c>
      <c r="E252" s="14" t="n">
        <v>645.5</v>
      </c>
      <c r="F252" s="14" t="n">
        <v>1304.72</v>
      </c>
      <c r="G252" s="15" t="inlineStr">
        <is>
          <t>-65%</t>
        </is>
      </c>
      <c r="H252" s="15" t="inlineStr">
        <is>
          <t>-51%</t>
        </is>
      </c>
      <c r="I252" s="13" t="n"/>
      <c r="J252" s="18" t="n"/>
    </row>
    <row r="253">
      <c r="A253" s="13" t="n"/>
      <c r="B253" s="13" t="n"/>
      <c r="C253" s="13" t="inlineStr">
        <is>
          <t>Handwork</t>
        </is>
      </c>
      <c r="D253" s="14" t="n">
        <v>356.25</v>
      </c>
      <c r="E253" s="14" t="n">
        <v>135</v>
      </c>
      <c r="F253" s="14" t="n">
        <v>0</v>
      </c>
      <c r="G253" s="15" t="inlineStr">
        <is>
          <t>n/a</t>
        </is>
      </c>
      <c r="H253" s="15" t="inlineStr">
        <is>
          <t>n/a</t>
        </is>
      </c>
      <c r="I253" s="13" t="n"/>
      <c r="J253" s="18" t="n"/>
    </row>
    <row r="254">
      <c r="A254" s="13" t="n"/>
      <c r="B254" s="13" t="n"/>
      <c r="C254" s="13" t="inlineStr">
        <is>
          <t>Die</t>
        </is>
      </c>
      <c r="D254" s="14" t="n">
        <v>1380</v>
      </c>
      <c r="E254" s="14" t="n">
        <v>0</v>
      </c>
      <c r="F254" s="14" t="n">
        <v>916</v>
      </c>
      <c r="G254" s="15" t="inlineStr">
        <is>
          <t>+51%</t>
        </is>
      </c>
      <c r="H254" s="15" t="inlineStr">
        <is>
          <t>-100%</t>
        </is>
      </c>
      <c r="I254" s="13" t="n"/>
      <c r="J254" s="18" t="n"/>
    </row>
    <row r="255">
      <c r="A255" s="19" t="n"/>
      <c r="B255" s="19" t="n"/>
      <c r="C255" s="19" t="inlineStr">
        <is>
          <t>TOTAL (excl die)</t>
        </is>
      </c>
      <c r="D255" s="20" t="n">
        <v>4990.17</v>
      </c>
      <c r="E255" s="20" t="n">
        <v>2376.09</v>
      </c>
      <c r="F255" s="20" t="n">
        <v>7619.26</v>
      </c>
      <c r="G255" s="21" t="inlineStr">
        <is>
          <t>-35%</t>
        </is>
      </c>
      <c r="H255" s="21" t="inlineStr">
        <is>
          <t>-69%</t>
        </is>
      </c>
      <c r="I255" s="21" t="inlineStr">
        <is>
          <t>YES</t>
        </is>
      </c>
      <c r="J255" s="22" t="n"/>
    </row>
    <row r="256">
      <c r="A256" s="5" t="n"/>
      <c r="B256" s="5" t="n"/>
      <c r="I256" s="5" t="n"/>
    </row>
    <row r="257">
      <c r="A257" s="4" t="n">
        <v>236869</v>
      </c>
      <c r="B257" s="4" t="inlineStr">
        <is>
          <t>RW-260730-155412 / 223597</t>
        </is>
      </c>
      <c r="C257" s="5" t="inlineStr">
        <is>
          <t>Material</t>
        </is>
      </c>
      <c r="D257" s="6" t="n">
        <v>662.8200000000001</v>
      </c>
      <c r="E257" s="6" t="n">
        <v>619.83</v>
      </c>
      <c r="F257" s="6" t="n">
        <v>646.66</v>
      </c>
      <c r="G257" s="7" t="inlineStr">
        <is>
          <t>+2%</t>
        </is>
      </c>
      <c r="H257" s="7" t="inlineStr">
        <is>
          <t>-4%</t>
        </is>
      </c>
      <c r="I257" s="7" t="inlineStr"/>
      <c r="J257" s="8" t="n"/>
    </row>
    <row r="258">
      <c r="A258" s="5" t="n"/>
      <c r="B258" s="5" t="n"/>
      <c r="C258" s="5" t="inlineStr">
        <is>
          <t>Print</t>
        </is>
      </c>
      <c r="D258" s="6" t="n">
        <v>815.97</v>
      </c>
      <c r="E258" s="6" t="n">
        <v>384.13</v>
      </c>
      <c r="F258" s="6" t="n">
        <v>946.88</v>
      </c>
      <c r="G258" s="7" t="inlineStr">
        <is>
          <t>-14%</t>
        </is>
      </c>
      <c r="H258" s="7" t="inlineStr">
        <is>
          <t>-59%</t>
        </is>
      </c>
      <c r="I258" s="5" t="n"/>
    </row>
    <row r="259">
      <c r="A259" s="5" t="n"/>
      <c r="B259" s="5" t="n"/>
      <c r="C259" s="5" t="inlineStr">
        <is>
          <t>Cutting</t>
        </is>
      </c>
      <c r="D259" s="6" t="n">
        <v>511.19</v>
      </c>
      <c r="E259" s="6" t="n">
        <v>540.02</v>
      </c>
      <c r="F259" s="6" t="n">
        <v>986.46</v>
      </c>
      <c r="G259" s="7" t="inlineStr">
        <is>
          <t>-48%</t>
        </is>
      </c>
      <c r="H259" s="7" t="inlineStr">
        <is>
          <t>-45%</t>
        </is>
      </c>
      <c r="I259" s="5" t="n"/>
    </row>
    <row r="260">
      <c r="A260" s="5" t="n"/>
      <c r="B260" s="5" t="n"/>
      <c r="C260" s="5" t="inlineStr">
        <is>
          <t>Handwork</t>
        </is>
      </c>
      <c r="D260" s="6" t="n">
        <v>0</v>
      </c>
      <c r="E260" s="6" t="n">
        <v>0</v>
      </c>
      <c r="F260" s="6" t="n">
        <v>0</v>
      </c>
      <c r="G260" s="7" t="inlineStr">
        <is>
          <t>n/a</t>
        </is>
      </c>
      <c r="H260" s="7" t="inlineStr">
        <is>
          <t>n/a</t>
        </is>
      </c>
      <c r="I260" s="5" t="n"/>
    </row>
    <row r="261">
      <c r="A261" s="5" t="n"/>
      <c r="B261" s="5" t="n"/>
      <c r="C261" s="5" t="inlineStr">
        <is>
          <t>Die</t>
        </is>
      </c>
      <c r="D261" s="6" t="n">
        <v>0</v>
      </c>
      <c r="E261" s="6" t="n">
        <v>0</v>
      </c>
      <c r="F261" s="6" t="n">
        <v>0</v>
      </c>
      <c r="G261" s="7" t="inlineStr">
        <is>
          <t>n/a</t>
        </is>
      </c>
      <c r="H261" s="7" t="inlineStr">
        <is>
          <t>n/a</t>
        </is>
      </c>
      <c r="I261" s="5" t="n"/>
    </row>
    <row r="262">
      <c r="A262" s="9" t="n"/>
      <c r="B262" s="9" t="n"/>
      <c r="C262" s="9" t="inlineStr">
        <is>
          <t>TOTAL (excl die)</t>
        </is>
      </c>
      <c r="D262" s="10" t="n">
        <v>1989.98</v>
      </c>
      <c r="E262" s="10" t="n">
        <v>1543.98</v>
      </c>
      <c r="F262" s="10" t="n">
        <v>2580</v>
      </c>
      <c r="G262" s="11" t="inlineStr">
        <is>
          <t>-23%</t>
        </is>
      </c>
      <c r="H262" s="11" t="inlineStr">
        <is>
          <t>-40%</t>
        </is>
      </c>
      <c r="I262" s="9" t="n"/>
      <c r="J262" s="12" t="n"/>
    </row>
    <row r="263">
      <c r="A263" s="5" t="n"/>
      <c r="B263" s="5" t="n"/>
      <c r="I263" s="5" t="n"/>
    </row>
    <row r="264">
      <c r="A264" s="4" t="n">
        <v>237252</v>
      </c>
      <c r="B264" s="4" t="inlineStr">
        <is>
          <t>RW-260724-113737 / 223651</t>
        </is>
      </c>
      <c r="C264" s="5" t="inlineStr">
        <is>
          <t>Material</t>
        </is>
      </c>
      <c r="D264" s="6" t="n">
        <v>5.35</v>
      </c>
      <c r="E264" s="6" t="n">
        <v>10.9</v>
      </c>
      <c r="F264" s="6" t="n">
        <v>0</v>
      </c>
      <c r="G264" s="7" t="inlineStr">
        <is>
          <t>n/a</t>
        </is>
      </c>
      <c r="H264" s="7" t="inlineStr">
        <is>
          <t>n/a</t>
        </is>
      </c>
      <c r="I264" s="7" t="inlineStr"/>
      <c r="J264" s="8" t="n"/>
    </row>
    <row r="265">
      <c r="A265" s="5" t="n"/>
      <c r="B265" s="5" t="n"/>
      <c r="C265" s="5" t="inlineStr">
        <is>
          <t>Print</t>
        </is>
      </c>
      <c r="D265" s="6" t="n">
        <v>0</v>
      </c>
      <c r="E265" s="6" t="n">
        <v>0</v>
      </c>
      <c r="F265" s="6" t="n">
        <v>0</v>
      </c>
      <c r="G265" s="7" t="inlineStr">
        <is>
          <t>n/a</t>
        </is>
      </c>
      <c r="H265" s="7" t="inlineStr">
        <is>
          <t>n/a</t>
        </is>
      </c>
      <c r="I265" s="5" t="n"/>
    </row>
    <row r="266">
      <c r="A266" s="5" t="n"/>
      <c r="B266" s="5" t="n"/>
      <c r="C266" s="5" t="inlineStr">
        <is>
          <t>Cutting</t>
        </is>
      </c>
      <c r="D266" s="6" t="n">
        <v>60</v>
      </c>
      <c r="E266" s="6" t="n">
        <v>41.44</v>
      </c>
      <c r="F266" s="6" t="n">
        <v>163.97</v>
      </c>
      <c r="G266" s="7" t="inlineStr">
        <is>
          <t>-63%</t>
        </is>
      </c>
      <c r="H266" s="7" t="inlineStr">
        <is>
          <t>-75%</t>
        </is>
      </c>
      <c r="I266" s="5" t="n"/>
    </row>
    <row r="267">
      <c r="A267" s="5" t="n"/>
      <c r="B267" s="5" t="n"/>
      <c r="C267" s="5" t="inlineStr">
        <is>
          <t>Handwork</t>
        </is>
      </c>
      <c r="D267" s="6" t="n">
        <v>0.85</v>
      </c>
      <c r="E267" s="6" t="n">
        <v>0</v>
      </c>
      <c r="F267" s="6" t="n">
        <v>0</v>
      </c>
      <c r="G267" s="7" t="inlineStr">
        <is>
          <t>n/a</t>
        </is>
      </c>
      <c r="H267" s="7" t="inlineStr">
        <is>
          <t>n/a</t>
        </is>
      </c>
      <c r="I267" s="5" t="n"/>
    </row>
    <row r="268">
      <c r="A268" s="5" t="n"/>
      <c r="B268" s="5" t="n"/>
      <c r="C268" s="5" t="inlineStr">
        <is>
          <t>Die</t>
        </is>
      </c>
      <c r="D268" s="6" t="n">
        <v>0</v>
      </c>
      <c r="E268" s="6" t="n">
        <v>0</v>
      </c>
      <c r="F268" s="6" t="n">
        <v>0</v>
      </c>
      <c r="G268" s="7" t="inlineStr">
        <is>
          <t>n/a</t>
        </is>
      </c>
      <c r="H268" s="7" t="inlineStr">
        <is>
          <t>n/a</t>
        </is>
      </c>
      <c r="I268" s="5" t="n"/>
    </row>
    <row r="269">
      <c r="A269" s="9" t="n"/>
      <c r="B269" s="9" t="n"/>
      <c r="C269" s="9" t="inlineStr">
        <is>
          <t>TOTAL (excl die)</t>
        </is>
      </c>
      <c r="D269" s="10" t="n">
        <v>66.2</v>
      </c>
      <c r="E269" s="10" t="n">
        <v>52.35</v>
      </c>
      <c r="F269" s="10" t="n">
        <v>163.97</v>
      </c>
      <c r="G269" s="11" t="inlineStr">
        <is>
          <t>-60%</t>
        </is>
      </c>
      <c r="H269" s="11" t="inlineStr">
        <is>
          <t>-68%</t>
        </is>
      </c>
      <c r="I269" s="9" t="n"/>
      <c r="J269" s="12" t="n"/>
    </row>
    <row r="270">
      <c r="A270" s="5" t="n"/>
      <c r="B270" s="5" t="n"/>
      <c r="I270" s="5" t="n"/>
    </row>
    <row r="271">
      <c r="A271" s="4" t="n">
        <v>237334</v>
      </c>
      <c r="B271" s="4" t="inlineStr">
        <is>
          <t>RW-260807-142934 / 223837</t>
        </is>
      </c>
      <c r="C271" s="5" t="inlineStr">
        <is>
          <t>Material</t>
        </is>
      </c>
      <c r="D271" s="6" t="n">
        <v>174.81</v>
      </c>
      <c r="E271" s="6" t="n">
        <v>180.66</v>
      </c>
      <c r="F271" s="6" t="n">
        <v>157.6</v>
      </c>
      <c r="G271" s="7" t="inlineStr">
        <is>
          <t>+11%</t>
        </is>
      </c>
      <c r="H271" s="7" t="inlineStr">
        <is>
          <t>+15%</t>
        </is>
      </c>
      <c r="I271" s="7" t="inlineStr"/>
      <c r="J271" s="8" t="n"/>
    </row>
    <row r="272">
      <c r="A272" s="5" t="n"/>
      <c r="B272" s="5" t="n"/>
      <c r="C272" s="5" t="inlineStr">
        <is>
          <t>Print</t>
        </is>
      </c>
      <c r="D272" s="6" t="n">
        <v>215.2</v>
      </c>
      <c r="E272" s="6" t="n">
        <v>153.66</v>
      </c>
      <c r="F272" s="6" t="n">
        <v>326.91</v>
      </c>
      <c r="G272" s="7" t="inlineStr">
        <is>
          <t>-34%</t>
        </is>
      </c>
      <c r="H272" s="7" t="inlineStr">
        <is>
          <t>-53%</t>
        </is>
      </c>
      <c r="I272" s="5" t="n"/>
    </row>
    <row r="273">
      <c r="A273" s="5" t="n"/>
      <c r="B273" s="5" t="n"/>
      <c r="C273" s="5" t="inlineStr">
        <is>
          <t>Cutting</t>
        </is>
      </c>
      <c r="D273" s="6" t="n">
        <v>128.8</v>
      </c>
      <c r="E273" s="6" t="n">
        <v>240.86</v>
      </c>
      <c r="F273" s="6" t="n">
        <v>169</v>
      </c>
      <c r="G273" s="7" t="inlineStr">
        <is>
          <t>-24%</t>
        </is>
      </c>
      <c r="H273" s="7" t="inlineStr">
        <is>
          <t>+43%</t>
        </is>
      </c>
      <c r="I273" s="5" t="n"/>
    </row>
    <row r="274">
      <c r="A274" s="5" t="n"/>
      <c r="B274" s="5" t="n"/>
      <c r="C274" s="5" t="inlineStr">
        <is>
          <t>Handwork</t>
        </is>
      </c>
      <c r="D274" s="6" t="n">
        <v>0</v>
      </c>
      <c r="E274" s="6" t="n">
        <v>0</v>
      </c>
      <c r="F274" s="6" t="n">
        <v>0</v>
      </c>
      <c r="G274" s="7" t="inlineStr">
        <is>
          <t>n/a</t>
        </is>
      </c>
      <c r="H274" s="7" t="inlineStr">
        <is>
          <t>n/a</t>
        </is>
      </c>
      <c r="I274" s="5" t="n"/>
    </row>
    <row r="275">
      <c r="A275" s="5" t="n"/>
      <c r="B275" s="5" t="n"/>
      <c r="C275" s="5" t="inlineStr">
        <is>
          <t>Die</t>
        </is>
      </c>
      <c r="D275" s="6" t="n">
        <v>0</v>
      </c>
      <c r="E275" s="6" t="n">
        <v>0</v>
      </c>
      <c r="F275" s="6" t="n">
        <v>0</v>
      </c>
      <c r="G275" s="7" t="inlineStr">
        <is>
          <t>n/a</t>
        </is>
      </c>
      <c r="H275" s="7" t="inlineStr">
        <is>
          <t>n/a</t>
        </is>
      </c>
      <c r="I275" s="5" t="n"/>
    </row>
    <row r="276">
      <c r="A276" s="9" t="n"/>
      <c r="B276" s="9" t="n"/>
      <c r="C276" s="9" t="inlineStr">
        <is>
          <t>TOTAL (excl die)</t>
        </is>
      </c>
      <c r="D276" s="10" t="n">
        <v>518.8099999999999</v>
      </c>
      <c r="E276" s="10" t="n">
        <v>575.1900000000001</v>
      </c>
      <c r="F276" s="10" t="n">
        <v>653.51</v>
      </c>
      <c r="G276" s="11" t="inlineStr">
        <is>
          <t>-21%</t>
        </is>
      </c>
      <c r="H276" s="11" t="inlineStr">
        <is>
          <t>-12%</t>
        </is>
      </c>
      <c r="I276" s="9" t="n"/>
      <c r="J276" s="12" t="n"/>
    </row>
    <row r="277">
      <c r="A277" s="5" t="n"/>
      <c r="B277" s="5" t="n"/>
      <c r="I277" s="5" t="n"/>
    </row>
    <row r="278">
      <c r="A278" s="4" t="n">
        <v>237385</v>
      </c>
      <c r="B278" s="4" t="inlineStr">
        <is>
          <t>RW-260803-100141 / 223880</t>
        </is>
      </c>
      <c r="C278" s="13" t="inlineStr">
        <is>
          <t>Material</t>
        </is>
      </c>
      <c r="D278" s="14" t="n">
        <v>300.33</v>
      </c>
      <c r="E278" s="14" t="n">
        <v>430.7</v>
      </c>
      <c r="F278" s="14" t="n">
        <v>0</v>
      </c>
      <c r="G278" s="15" t="inlineStr">
        <is>
          <t>n/a</t>
        </is>
      </c>
      <c r="H278" s="15" t="inlineStr">
        <is>
          <t>n/a</t>
        </is>
      </c>
      <c r="I278" s="16" t="inlineStr">
        <is>
          <t>YES</t>
        </is>
      </c>
      <c r="J278" s="17" t="inlineStr">
        <is>
          <t>[iQuote] Pre-invoiced only, ran 8/10, estimated hrs on zund was 14.51, plan was 20.73, SPOT gave 12.8 actual was 1.228; material costs missing? Plan said:  511Q051KR63002 but not charged to job in material transaction tables?; [Actual] I do not have material cost data for this record - allegedly ran 8/10</t>
        </is>
      </c>
    </row>
    <row r="279">
      <c r="A279" s="13" t="n"/>
      <c r="B279" s="13" t="n"/>
      <c r="C279" s="13" t="inlineStr">
        <is>
          <t>Print</t>
        </is>
      </c>
      <c r="D279" s="14" t="n">
        <v>0</v>
      </c>
      <c r="E279" s="14" t="n">
        <v>0</v>
      </c>
      <c r="F279" s="14" t="n">
        <v>0</v>
      </c>
      <c r="G279" s="15" t="inlineStr">
        <is>
          <t>n/a</t>
        </is>
      </c>
      <c r="H279" s="15" t="inlineStr">
        <is>
          <t>n/a</t>
        </is>
      </c>
      <c r="I279" s="13" t="n"/>
      <c r="J279" s="18" t="n"/>
    </row>
    <row r="280">
      <c r="A280" s="13" t="n"/>
      <c r="B280" s="13" t="n"/>
      <c r="C280" s="13" t="inlineStr">
        <is>
          <t>Cutting</t>
        </is>
      </c>
      <c r="D280" s="14" t="n">
        <v>1760.55</v>
      </c>
      <c r="E280" s="14" t="n">
        <v>1035.96</v>
      </c>
      <c r="F280" s="14" t="n">
        <v>104.36</v>
      </c>
      <c r="G280" s="15" t="inlineStr">
        <is>
          <t>+1587%</t>
        </is>
      </c>
      <c r="H280" s="15" t="inlineStr">
        <is>
          <t>+893%</t>
        </is>
      </c>
      <c r="I280" s="13" t="n"/>
      <c r="J280" s="18" t="n"/>
    </row>
    <row r="281">
      <c r="A281" s="13" t="n"/>
      <c r="B281" s="13" t="n"/>
      <c r="C281" s="13" t="inlineStr">
        <is>
          <t>Handwork</t>
        </is>
      </c>
      <c r="D281" s="14" t="n">
        <v>0</v>
      </c>
      <c r="E281" s="14" t="n">
        <v>0</v>
      </c>
      <c r="F281" s="14" t="n">
        <v>89.27</v>
      </c>
      <c r="G281" s="15" t="inlineStr">
        <is>
          <t>-100%</t>
        </is>
      </c>
      <c r="H281" s="15" t="inlineStr">
        <is>
          <t>-100%</t>
        </is>
      </c>
      <c r="I281" s="13" t="n"/>
      <c r="J281" s="18" t="n"/>
    </row>
    <row r="282">
      <c r="A282" s="13" t="n"/>
      <c r="B282" s="13" t="n"/>
      <c r="C282" s="13" t="inlineStr">
        <is>
          <t>Die</t>
        </is>
      </c>
      <c r="D282" s="14" t="n">
        <v>0</v>
      </c>
      <c r="E282" s="14" t="n">
        <v>0</v>
      </c>
      <c r="F282" s="14" t="n">
        <v>0</v>
      </c>
      <c r="G282" s="15" t="inlineStr">
        <is>
          <t>n/a</t>
        </is>
      </c>
      <c r="H282" s="15" t="inlineStr">
        <is>
          <t>n/a</t>
        </is>
      </c>
      <c r="I282" s="13" t="n"/>
      <c r="J282" s="18" t="n"/>
    </row>
    <row r="283">
      <c r="A283" s="19" t="n"/>
      <c r="B283" s="19" t="n"/>
      <c r="C283" s="19" t="inlineStr">
        <is>
          <t>TOTAL (excl die)</t>
        </is>
      </c>
      <c r="D283" s="20" t="n">
        <v>2060.88</v>
      </c>
      <c r="E283" s="20" t="n">
        <v>1466.66</v>
      </c>
      <c r="F283" s="20" t="n">
        <v>193.63</v>
      </c>
      <c r="G283" s="21" t="inlineStr">
        <is>
          <t>+964%</t>
        </is>
      </c>
      <c r="H283" s="21" t="inlineStr">
        <is>
          <t>+657%</t>
        </is>
      </c>
      <c r="I283" s="21" t="inlineStr">
        <is>
          <t>YES</t>
        </is>
      </c>
      <c r="J283" s="22" t="n"/>
    </row>
    <row r="284">
      <c r="A284" s="5" t="n"/>
      <c r="B284" s="5" t="n"/>
      <c r="I284" s="5" t="n"/>
    </row>
    <row r="286">
      <c r="A286" s="1" t="inlineStr">
        <is>
          <t>OUTLIER LEGEND</t>
        </is>
      </c>
    </row>
    <row r="287" ht="30" customHeight="1">
      <c r="A287" s="22" t="n">
        <v>236663</v>
      </c>
      <c r="B287" s="8" t="inlineStr">
        <is>
          <t>SPOT Buy Min: 663 sheets forced (ECT 32 B 45.25x72) — actual production used different qty; iQuote also has $0 material in DB</t>
        </is>
      </c>
    </row>
    <row r="288" ht="30" customHeight="1">
      <c r="A288" s="22" t="n">
        <v>236559</v>
      </c>
      <c r="B288" s="8" t="inlineStr">
        <is>
          <t>SPOT Buy Min: 663 sheets forced (ECT 32 SW C 45.25x72 K/K) — actual production used 55x76 @ 50 sheets</t>
        </is>
      </c>
    </row>
    <row r="289" ht="30" customHeight="1">
      <c r="A289" s="22" t="n">
        <v>236477</v>
      </c>
      <c r="B289" s="8" t="inlineStr">
        <is>
          <t>Cut/ship only on Zund — no actual Zund setup/run data captured; invoiced at iQuote $</t>
        </is>
      </c>
    </row>
    <row r="290" ht="30" customHeight="1">
      <c r="A290" s="22" t="n">
        <v>236943</v>
      </c>
      <c r="B290" s="8" t="inlineStr">
        <is>
          <t>Actual was cut on Kongsberg (not the machine SPOT/iQuote planned)</t>
        </is>
      </c>
    </row>
    <row r="291" ht="30" customHeight="1">
      <c r="A291" s="22" t="n">
        <v>237385</v>
      </c>
      <c r="B291" s="8" t="inlineStr">
        <is>
          <t>Pre-invoiced only; material cost data missing from actual (allegedly ran 8/10)</t>
        </is>
      </c>
    </row>
  </sheetData>
  <mergeCells count="7">
    <mergeCell ref="A2:I2"/>
    <mergeCell ref="B287:J287"/>
    <mergeCell ref="B288:J288"/>
    <mergeCell ref="A1:I1"/>
    <mergeCell ref="B290:J290"/>
    <mergeCell ref="B291:J291"/>
    <mergeCell ref="B289:J2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Price Comparison — 40 produced jobs (5 outliers flagged, 35 clean)</t>
        </is>
      </c>
    </row>
    <row r="3">
      <c r="A3" s="23" t="inlineStr">
        <is>
          <t>MIS Job</t>
        </is>
      </c>
      <c r="B3" s="23" t="inlineStr">
        <is>
          <t>Actual Invoice $</t>
        </is>
      </c>
      <c r="C3" s="23" t="inlineStr">
        <is>
          <t>iQuote Sell $</t>
        </is>
      </c>
      <c r="D3" s="23" t="inlineStr">
        <is>
          <t>SPOT Sell $</t>
        </is>
      </c>
      <c r="E3" s="23" t="inlineStr">
        <is>
          <t>Outlier?</t>
        </is>
      </c>
    </row>
    <row r="4">
      <c r="A4" s="7" t="inlineStr">
        <is>
          <t>234843</t>
        </is>
      </c>
      <c r="B4" s="24" t="n">
        <v>1216</v>
      </c>
      <c r="C4" s="24" t="n">
        <v>1216</v>
      </c>
      <c r="D4" s="24" t="n">
        <v>1486</v>
      </c>
      <c r="E4" s="7" t="inlineStr"/>
    </row>
    <row r="5">
      <c r="A5" s="7" t="inlineStr">
        <is>
          <t>235366</t>
        </is>
      </c>
      <c r="B5" s="24" t="n">
        <v>2302</v>
      </c>
      <c r="C5" s="24" t="n">
        <v>2302</v>
      </c>
      <c r="D5" s="24" t="n">
        <v>3042</v>
      </c>
      <c r="E5" s="7" t="inlineStr"/>
    </row>
    <row r="6">
      <c r="A6" s="7" t="inlineStr">
        <is>
          <t>235367</t>
        </is>
      </c>
      <c r="B6" s="24" t="n">
        <v>2952</v>
      </c>
      <c r="C6" s="24" t="n">
        <v>2952</v>
      </c>
      <c r="D6" s="24" t="n">
        <v>1867</v>
      </c>
      <c r="E6" s="7" t="inlineStr"/>
    </row>
    <row r="7">
      <c r="A7" s="7" t="inlineStr">
        <is>
          <t>235005</t>
        </is>
      </c>
      <c r="B7" s="24" t="n">
        <v>5394</v>
      </c>
      <c r="C7" s="24" t="n">
        <v>5394</v>
      </c>
      <c r="D7" s="24" t="n">
        <v>6114</v>
      </c>
      <c r="E7" s="7" t="inlineStr"/>
    </row>
    <row r="8">
      <c r="A8" s="7" t="inlineStr">
        <is>
          <t>235786</t>
        </is>
      </c>
      <c r="B8" s="24" t="n">
        <v>580</v>
      </c>
      <c r="C8" s="24" t="n">
        <v>580</v>
      </c>
      <c r="D8" s="24" t="n">
        <v>884</v>
      </c>
      <c r="E8" s="7" t="inlineStr"/>
    </row>
    <row r="9">
      <c r="A9" s="7" t="inlineStr">
        <is>
          <t>235922</t>
        </is>
      </c>
      <c r="B9" s="24" t="n">
        <v>1954</v>
      </c>
      <c r="C9" s="24" t="n">
        <v>1954</v>
      </c>
      <c r="D9" s="24" t="n">
        <v>2831</v>
      </c>
      <c r="E9" s="7" t="inlineStr"/>
    </row>
    <row r="10">
      <c r="A10" s="7" t="inlineStr">
        <is>
          <t>235921</t>
        </is>
      </c>
      <c r="B10" s="24" t="n">
        <v>1103</v>
      </c>
      <c r="C10" s="24" t="n">
        <v>1103</v>
      </c>
      <c r="D10" s="24" t="n">
        <v>1379</v>
      </c>
      <c r="E10" s="7" t="inlineStr"/>
    </row>
    <row r="11">
      <c r="A11" s="7" t="inlineStr">
        <is>
          <t>235920</t>
        </is>
      </c>
      <c r="B11" s="24" t="n">
        <v>1514</v>
      </c>
      <c r="C11" s="24" t="n">
        <v>1514</v>
      </c>
      <c r="D11" s="24" t="n">
        <v>1952</v>
      </c>
      <c r="E11" s="7" t="inlineStr"/>
    </row>
    <row r="12">
      <c r="A12" s="7" t="inlineStr">
        <is>
          <t>235287</t>
        </is>
      </c>
      <c r="B12" s="24" t="n">
        <v>4316</v>
      </c>
      <c r="C12" s="24" t="n">
        <v>4316</v>
      </c>
      <c r="D12" s="24" t="n">
        <v>4564</v>
      </c>
      <c r="E12" s="7" t="inlineStr"/>
    </row>
    <row r="13">
      <c r="A13" s="7" t="inlineStr">
        <is>
          <t>235253</t>
        </is>
      </c>
      <c r="B13" s="24" t="n">
        <v>3425</v>
      </c>
      <c r="C13" s="24" t="n">
        <v>3113</v>
      </c>
      <c r="D13" s="24" t="n">
        <v>3032</v>
      </c>
      <c r="E13" s="7" t="inlineStr"/>
    </row>
    <row r="14">
      <c r="A14" s="7" t="inlineStr">
        <is>
          <t>235289</t>
        </is>
      </c>
      <c r="B14" s="24" t="n">
        <v>903</v>
      </c>
      <c r="C14" s="24" t="n">
        <v>1044</v>
      </c>
      <c r="D14" s="24" t="n">
        <v>1079</v>
      </c>
      <c r="E14" s="7" t="inlineStr"/>
    </row>
    <row r="15">
      <c r="A15" s="7" t="inlineStr">
        <is>
          <t>235448</t>
        </is>
      </c>
      <c r="B15" s="24" t="n">
        <v>840</v>
      </c>
      <c r="C15" s="24" t="n">
        <v>720</v>
      </c>
      <c r="D15" s="24" t="n">
        <v>1036</v>
      </c>
      <c r="E15" s="7" t="inlineStr"/>
    </row>
    <row r="16">
      <c r="A16" s="7" t="inlineStr">
        <is>
          <t>235580</t>
        </is>
      </c>
      <c r="B16" s="24" t="n">
        <v>971</v>
      </c>
      <c r="C16" s="24" t="n">
        <v>971</v>
      </c>
      <c r="D16" s="24" t="n">
        <v>1259</v>
      </c>
      <c r="E16" s="7" t="inlineStr"/>
    </row>
    <row r="17">
      <c r="A17" s="7" t="inlineStr">
        <is>
          <t>236327</t>
        </is>
      </c>
      <c r="B17" s="24" t="n">
        <v>810</v>
      </c>
      <c r="C17" s="24" t="n">
        <v>598</v>
      </c>
      <c r="D17" s="24" t="n">
        <v>935</v>
      </c>
      <c r="E17" s="7" t="inlineStr"/>
    </row>
    <row r="18">
      <c r="A18" s="7" t="inlineStr">
        <is>
          <t>235917</t>
        </is>
      </c>
      <c r="B18" s="24" t="n">
        <v>573</v>
      </c>
      <c r="C18" s="24" t="n">
        <v>573</v>
      </c>
      <c r="D18" s="24" t="n">
        <v>900</v>
      </c>
      <c r="E18" s="7" t="inlineStr"/>
    </row>
    <row r="19">
      <c r="A19" s="7" t="inlineStr">
        <is>
          <t>235952</t>
        </is>
      </c>
      <c r="B19" s="24" t="n">
        <v>613</v>
      </c>
      <c r="C19" s="24" t="n">
        <v>613</v>
      </c>
      <c r="D19" s="24" t="n">
        <v>1105</v>
      </c>
      <c r="E19" s="7" t="inlineStr"/>
    </row>
    <row r="20">
      <c r="A20" s="7" t="inlineStr">
        <is>
          <t>235787</t>
        </is>
      </c>
      <c r="B20" s="24" t="n">
        <v>3315</v>
      </c>
      <c r="C20" s="24" t="n">
        <v>3315</v>
      </c>
      <c r="D20" s="24" t="n">
        <v>3213</v>
      </c>
      <c r="E20" s="7" t="inlineStr"/>
    </row>
    <row r="21">
      <c r="A21" s="7" t="inlineStr">
        <is>
          <t>235785</t>
        </is>
      </c>
      <c r="B21" s="24" t="n">
        <v>857</v>
      </c>
      <c r="C21" s="24" t="n">
        <v>857</v>
      </c>
      <c r="D21" s="24" t="n">
        <v>1084</v>
      </c>
      <c r="E21" s="7" t="inlineStr"/>
    </row>
    <row r="22">
      <c r="A22" s="7" t="inlineStr">
        <is>
          <t>236330</t>
        </is>
      </c>
      <c r="B22" s="24" t="n">
        <v>825</v>
      </c>
      <c r="C22" s="24" t="n">
        <v>825</v>
      </c>
      <c r="D22" s="24" t="n">
        <v>995</v>
      </c>
      <c r="E22" s="7" t="inlineStr"/>
    </row>
    <row r="23">
      <c r="A23" s="7" t="inlineStr">
        <is>
          <t>236123</t>
        </is>
      </c>
      <c r="B23" s="24" t="n">
        <v>414</v>
      </c>
      <c r="C23" s="24" t="n">
        <v>414</v>
      </c>
      <c r="D23" s="24" t="n">
        <v>525</v>
      </c>
      <c r="E23" s="7" t="inlineStr"/>
    </row>
    <row r="24">
      <c r="A24" s="15" t="inlineStr">
        <is>
          <t>236663</t>
        </is>
      </c>
      <c r="B24" s="25" t="n">
        <v>481</v>
      </c>
      <c r="C24" s="25" t="n">
        <v>481</v>
      </c>
      <c r="D24" s="25" t="n">
        <v>2903</v>
      </c>
      <c r="E24" s="15" t="inlineStr">
        <is>
          <t>YES</t>
        </is>
      </c>
    </row>
    <row r="25">
      <c r="A25" s="15" t="inlineStr">
        <is>
          <t>236559</t>
        </is>
      </c>
      <c r="B25" s="25" t="n">
        <v>677</v>
      </c>
      <c r="C25" s="25" t="n">
        <v>522</v>
      </c>
      <c r="D25" s="25" t="n">
        <v>2839</v>
      </c>
      <c r="E25" s="15" t="inlineStr">
        <is>
          <t>YES</t>
        </is>
      </c>
    </row>
    <row r="26">
      <c r="A26" s="7" t="inlineStr">
        <is>
          <t>236295</t>
        </is>
      </c>
      <c r="B26" s="24" t="n">
        <v>1753</v>
      </c>
      <c r="C26" s="24" t="n">
        <v>1753</v>
      </c>
      <c r="D26" s="24" t="n">
        <v>1754</v>
      </c>
      <c r="E26" s="7" t="inlineStr"/>
    </row>
    <row r="27">
      <c r="A27" s="7" t="inlineStr">
        <is>
          <t>236341</t>
        </is>
      </c>
      <c r="B27" s="24" t="n">
        <v>1733</v>
      </c>
      <c r="C27" s="24" t="n">
        <v>1733</v>
      </c>
      <c r="D27" s="24" t="n">
        <v>1753</v>
      </c>
      <c r="E27" s="7" t="inlineStr"/>
    </row>
    <row r="28">
      <c r="A28" s="7" t="inlineStr">
        <is>
          <t>236355</t>
        </is>
      </c>
      <c r="B28" s="24" t="n">
        <v>242</v>
      </c>
      <c r="C28" s="24" t="n">
        <v>242</v>
      </c>
      <c r="D28" s="24" t="n">
        <v>454</v>
      </c>
      <c r="E28" s="7" t="inlineStr"/>
    </row>
    <row r="29">
      <c r="A29" s="7" t="inlineStr">
        <is>
          <t>236423</t>
        </is>
      </c>
      <c r="B29" s="24" t="n">
        <v>4836</v>
      </c>
      <c r="C29" s="24" t="n">
        <v>4836</v>
      </c>
      <c r="D29" s="24" t="n">
        <v>4901</v>
      </c>
      <c r="E29" s="7" t="inlineStr"/>
    </row>
    <row r="30">
      <c r="A30" s="7" t="inlineStr">
        <is>
          <t>236673</t>
        </is>
      </c>
      <c r="B30" s="24" t="n">
        <v>1651</v>
      </c>
      <c r="C30" s="24" t="n">
        <v>1651</v>
      </c>
      <c r="D30" s="24" t="n">
        <v>1816</v>
      </c>
      <c r="E30" s="7" t="inlineStr"/>
    </row>
    <row r="31">
      <c r="A31" s="15" t="inlineStr">
        <is>
          <t>236477</t>
        </is>
      </c>
      <c r="B31" s="25" t="n">
        <v>960</v>
      </c>
      <c r="C31" s="25" t="n">
        <v>960</v>
      </c>
      <c r="D31" s="25" t="n">
        <v>1033</v>
      </c>
      <c r="E31" s="15" t="inlineStr">
        <is>
          <t>YES</t>
        </is>
      </c>
    </row>
    <row r="32">
      <c r="A32" s="7" t="inlineStr">
        <is>
          <t>236585</t>
        </is>
      </c>
      <c r="B32" s="24" t="n">
        <v>1661</v>
      </c>
      <c r="C32" s="24" t="n">
        <v>1661</v>
      </c>
      <c r="D32" s="24" t="n">
        <v>2098</v>
      </c>
      <c r="E32" s="7" t="inlineStr"/>
    </row>
    <row r="33">
      <c r="A33" s="7" t="inlineStr">
        <is>
          <t>236561</t>
        </is>
      </c>
      <c r="B33" s="24" t="n">
        <v>824</v>
      </c>
      <c r="C33" s="24" t="n">
        <v>824</v>
      </c>
      <c r="D33" s="24" t="n">
        <v>872</v>
      </c>
      <c r="E33" s="7" t="inlineStr"/>
    </row>
    <row r="34">
      <c r="A34" s="7" t="inlineStr">
        <is>
          <t>236550</t>
        </is>
      </c>
      <c r="B34" s="24" t="n">
        <v>1387</v>
      </c>
      <c r="C34" s="24" t="n">
        <v>1387</v>
      </c>
      <c r="D34" s="24" t="n">
        <v>1665</v>
      </c>
      <c r="E34" s="7" t="inlineStr"/>
    </row>
    <row r="35">
      <c r="A35" s="7" t="inlineStr">
        <is>
          <t>236802</t>
        </is>
      </c>
      <c r="B35" s="24" t="n">
        <v>6164</v>
      </c>
      <c r="C35" s="24" t="n">
        <v>6164</v>
      </c>
      <c r="D35" s="24" t="n">
        <v>5824</v>
      </c>
      <c r="E35" s="7" t="inlineStr"/>
    </row>
    <row r="36">
      <c r="A36" s="7" t="inlineStr">
        <is>
          <t>236688</t>
        </is>
      </c>
      <c r="B36" s="24" t="n">
        <v>248</v>
      </c>
      <c r="C36" s="24" t="n">
        <v>248</v>
      </c>
      <c r="D36" s="24" t="n">
        <v>256</v>
      </c>
      <c r="E36" s="7" t="inlineStr"/>
    </row>
    <row r="37">
      <c r="A37" s="7" t="inlineStr">
        <is>
          <t>236822</t>
        </is>
      </c>
      <c r="B37" s="24" t="n">
        <v>985</v>
      </c>
      <c r="C37" s="24" t="n">
        <v>985</v>
      </c>
      <c r="D37" s="24" t="n">
        <v>1259</v>
      </c>
      <c r="E37" s="7" t="inlineStr"/>
    </row>
    <row r="38">
      <c r="A38" s="7" t="inlineStr">
        <is>
          <t>236942</t>
        </is>
      </c>
      <c r="B38" s="24" t="n">
        <v>724</v>
      </c>
      <c r="C38" s="24" t="n">
        <v>724</v>
      </c>
      <c r="D38" s="24" t="n">
        <v>1121</v>
      </c>
      <c r="E38" s="7" t="inlineStr"/>
    </row>
    <row r="39">
      <c r="A39" s="15" t="inlineStr">
        <is>
          <t>236943</t>
        </is>
      </c>
      <c r="B39" s="25" t="n">
        <v>4353</v>
      </c>
      <c r="C39" s="25" t="n">
        <v>3695</v>
      </c>
      <c r="D39" s="25" t="n">
        <v>6774</v>
      </c>
      <c r="E39" s="15" t="inlineStr">
        <is>
          <t>YES</t>
        </is>
      </c>
    </row>
    <row r="40">
      <c r="A40" s="7" t="inlineStr">
        <is>
          <t>236869</t>
        </is>
      </c>
      <c r="B40" s="24" t="n">
        <v>2876</v>
      </c>
      <c r="C40" s="24" t="n">
        <v>2749</v>
      </c>
      <c r="D40" s="24" t="n">
        <v>3071</v>
      </c>
      <c r="E40" s="7" t="inlineStr"/>
    </row>
    <row r="41">
      <c r="A41" s="7" t="inlineStr">
        <is>
          <t>237252</t>
        </is>
      </c>
      <c r="B41" s="24" t="n">
        <v>142</v>
      </c>
      <c r="C41" s="24" t="n">
        <v>131</v>
      </c>
      <c r="D41" s="24" t="n">
        <v>132</v>
      </c>
      <c r="E41" s="7" t="inlineStr"/>
    </row>
    <row r="42">
      <c r="A42" s="7" t="inlineStr">
        <is>
          <t>237334</t>
        </is>
      </c>
      <c r="B42" s="24" t="n">
        <v>1219</v>
      </c>
      <c r="C42" s="24" t="n">
        <v>1221</v>
      </c>
      <c r="D42" s="24" t="n">
        <v>1303</v>
      </c>
      <c r="E42" s="7" t="inlineStr"/>
    </row>
    <row r="43">
      <c r="A43" s="15" t="inlineStr">
        <is>
          <t>237385</t>
        </is>
      </c>
      <c r="B43" s="25" t="n">
        <v>2288</v>
      </c>
      <c r="C43" s="25" t="n">
        <v>2280</v>
      </c>
      <c r="D43" s="25" t="n">
        <v>3416</v>
      </c>
      <c r="E43" s="15" t="inlineStr">
        <is>
          <t>YES</t>
        </is>
      </c>
    </row>
    <row r="44">
      <c r="A44" s="12" t="inlineStr">
        <is>
          <t>TOTAL (all 40)</t>
        </is>
      </c>
      <c r="B44" s="26">
        <f>SUM(B4:B43)</f>
        <v/>
      </c>
      <c r="C44" s="26">
        <f>SUM(C4:C43)</f>
        <v/>
      </c>
      <c r="D44" s="26">
        <f>SUM(D4:D43)</f>
        <v/>
      </c>
    </row>
    <row r="45">
      <c r="A45" s="27" t="inlineStr">
        <is>
          <t>TOTAL (clean 35)</t>
        </is>
      </c>
      <c r="B45" s="28">
        <f>SUMIF(E4:E43,"&lt;&gt;YES",B4:B43)</f>
        <v/>
      </c>
      <c r="C45" s="28">
        <f>SUMIF(E4:E43,"&lt;&gt;YES",C4:C43)</f>
        <v/>
      </c>
      <c r="D45" s="28">
        <f>SUMIF(E4:E43,"&lt;&gt;YES",D4:D43)</f>
        <v/>
      </c>
    </row>
    <row r="47">
      <c r="A47" s="1" t="inlineStr">
        <is>
          <t>Cost accuracy by category — portfolio totals</t>
        </is>
      </c>
    </row>
    <row r="48" ht="30" customHeight="1">
      <c r="A48" s="29" t="inlineStr">
        <is>
          <t>Category</t>
        </is>
      </c>
      <c r="B48" s="29" t="inlineStr">
        <is>
          <t>Actual $ (all)</t>
        </is>
      </c>
      <c r="C48" s="29" t="inlineStr">
        <is>
          <t>SPOT est $ (all)</t>
        </is>
      </c>
      <c r="D48" s="29" t="inlineStr">
        <is>
          <t>iQuote est $ (all)</t>
        </is>
      </c>
      <c r="E48" s="29" t="inlineStr">
        <is>
          <t>Actual $ (clean)</t>
        </is>
      </c>
      <c r="F48" s="29" t="inlineStr">
        <is>
          <t>SPOT est $ (clean)</t>
        </is>
      </c>
      <c r="G48" s="29" t="inlineStr">
        <is>
          <t>iQuote est $ (clean)</t>
        </is>
      </c>
    </row>
    <row r="49">
      <c r="A49" s="5" t="inlineStr">
        <is>
          <t>Material</t>
        </is>
      </c>
      <c r="B49" s="24" t="n">
        <v>12884</v>
      </c>
      <c r="C49" s="24" t="n">
        <v>17949</v>
      </c>
      <c r="D49" s="24" t="n">
        <v>12541</v>
      </c>
      <c r="E49" s="30" t="n">
        <v>10403</v>
      </c>
      <c r="F49" s="30" t="n">
        <v>11885</v>
      </c>
      <c r="G49" s="30" t="n">
        <v>11007</v>
      </c>
    </row>
    <row r="50">
      <c r="A50" s="5" t="inlineStr">
        <is>
          <t>Print</t>
        </is>
      </c>
      <c r="B50" s="24" t="n">
        <v>20197</v>
      </c>
      <c r="C50" s="24" t="n">
        <v>16918</v>
      </c>
      <c r="D50" s="24" t="n">
        <v>10253</v>
      </c>
      <c r="E50" s="30" t="n">
        <v>16155</v>
      </c>
      <c r="F50" s="30" t="n">
        <v>14587</v>
      </c>
      <c r="G50" s="30" t="n">
        <v>9452</v>
      </c>
    </row>
    <row r="51">
      <c r="A51" s="5" t="inlineStr">
        <is>
          <t>Cutting</t>
        </is>
      </c>
      <c r="B51" s="24" t="n">
        <v>16932</v>
      </c>
      <c r="C51" s="24" t="n">
        <v>14979</v>
      </c>
      <c r="D51" s="24" t="n">
        <v>12721</v>
      </c>
      <c r="E51" s="30" t="n">
        <v>15183</v>
      </c>
      <c r="F51" s="30" t="n">
        <v>12126</v>
      </c>
      <c r="G51" s="30" t="n">
        <v>9921</v>
      </c>
    </row>
    <row r="52">
      <c r="A52" s="5" t="inlineStr">
        <is>
          <t>Handwork</t>
        </is>
      </c>
      <c r="B52" s="24" t="n">
        <v>342</v>
      </c>
      <c r="C52" s="24" t="n">
        <v>2081</v>
      </c>
      <c r="D52" s="24" t="n">
        <v>3526</v>
      </c>
      <c r="E52" s="30" t="n">
        <v>252</v>
      </c>
      <c r="F52" s="30" t="n">
        <v>1653</v>
      </c>
      <c r="G52" s="30" t="n">
        <v>3240</v>
      </c>
    </row>
    <row r="53">
      <c r="A53" s="5" t="inlineStr">
        <is>
          <t>Die</t>
        </is>
      </c>
      <c r="B53" s="24" t="n">
        <v>4474</v>
      </c>
      <c r="C53" s="24" t="n">
        <v>3909</v>
      </c>
      <c r="D53" s="24" t="n">
        <v>0</v>
      </c>
      <c r="E53" s="30" t="n">
        <v>3558</v>
      </c>
      <c r="F53" s="30" t="n">
        <v>2529</v>
      </c>
      <c r="G53" s="30" t="n">
        <v>0</v>
      </c>
    </row>
    <row r="54">
      <c r="A54" s="12" t="inlineStr">
        <is>
          <t>TOTAL</t>
        </is>
      </c>
      <c r="B54" s="26">
        <f>SUM(B49:B53)</f>
        <v/>
      </c>
      <c r="C54" s="26">
        <f>SUM(C49:C53)</f>
        <v/>
      </c>
      <c r="D54" s="26">
        <f>SUM(D49:D53)</f>
        <v/>
      </c>
      <c r="E54" s="26">
        <f>SUM(E49:E53)</f>
        <v/>
      </c>
      <c r="F54" s="26">
        <f>SUM(F49:F53)</f>
        <v/>
      </c>
      <c r="G54" s="26">
        <f>SUM(G49:G53)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2026-08-11T16:04:11Z</dcterms:created>
  <dcterms:modified xmlns:dcterms="http://purl.org/dc/terms/" xmlns:xsi="http://www.w3.org/2001/XMLSchema-instance" xsi:type="dcterms:W3CDTF">2026-08-11T16:04:11Z</dcterms:modified>
</cp:coreProperties>
</file>