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 Quotes (All)" sheetId="2" state="visible" r:id="rId2"/>
    <sheet xmlns:r="http://schemas.openxmlformats.org/officeDocument/2006/relationships" name="Excl. Outliers" sheetId="3" state="visible" r:id="rId3"/>
    <sheet xmlns:r="http://schemas.openxmlformats.org/officeDocument/2006/relationships" name="Outlier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Actuals 3-Way" sheetId="6" state="visible" r:id="rId6"/>
    <sheet xmlns:r="http://schemas.openxmlformats.org/officeDocument/2006/relationships" name="Cutting Deep-D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9"/>
    </font>
    <font>
      <b val="1"/>
      <color rgb="001F3864"/>
      <sz val="11"/>
    </font>
    <font>
      <b val="1"/>
      <sz val="10"/>
    </font>
    <font>
      <sz val="10"/>
    </font>
    <font>
      <b val="1"/>
      <color rgb="00FFFFFF"/>
      <sz val="10"/>
    </font>
    <font>
      <sz val="9"/>
    </font>
    <font>
      <i val="1"/>
      <sz val="8"/>
    </font>
    <font>
      <b val="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FFF3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5" fillId="3" borderId="0" pivotButton="0" quotePrefix="0" xfId="0"/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0" fillId="5" borderId="0" pivotButton="0" quotePrefix="0" xfId="0"/>
    <xf numFmtId="0" fontId="10" fillId="4" borderId="0" pivotButton="0" quotePrefix="0" xfId="0"/>
    <xf numFmtId="0" fontId="10" fillId="3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 % (SPOT vs iQuote) — target: clustered at 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'Charts'!$A$5:$A$13</f>
            </numRef>
          </cat>
          <val>
            <numRef>
              <f>'Charts'!$B$5:$B$13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—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'Charts'!$A$17:$A$62</f>
            </numRef>
          </xVal>
          <yVal>
            <numRef>
              <f>'Charts'!$B$17:$B$62</f>
            </numRef>
          </yVal>
        </ser>
        <ser>
          <idx val="1"/>
          <order val="1"/>
          <tx>
            <v>Perfect match (y=x)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'Charts'!$C$17:$C$18</f>
            </numRef>
          </xVal>
          <yVal>
            <numRef>
              <f>'Charts'!$D$17:$D$18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quantity — SPOT premium concentrates at small runs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'Charts'!B65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'Charts'!$A$66:$A$69</f>
            </numRef>
          </cat>
          <val>
            <numRef>
              <f>'Charts'!$B$66:$B$69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by category —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'Charts'!$A$73:$A$78</f>
            </numRef>
          </cat>
          <val>
            <numRef>
              <f>'Charts'!$B$73:$B$78</f>
            </numRef>
          </val>
        </ser>
        <ser>
          <idx val="1"/>
          <order val="1"/>
          <tx>
            <strRef>
              <f>'Charts'!C72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'Charts'!$A$73:$A$78</f>
            </numRef>
          </cat>
          <val>
            <numRef>
              <f>'Charts'!$C$73:$C$78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46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65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SPOT vs iQuote — Pricing Accuracy Comparison</t>
        </is>
      </c>
    </row>
    <row r="2" ht="52" customHeight="1">
      <c r="A2" s="2" t="inlineStr">
        <is>
          <t>Method: 38 flagged SPOT estimates matched to 34 iQuote quotes (49 comparable scenarios) by iQuote #, qty tier and route/option. Verdict thresholds mirror legacy parity testing: PASS &lt;= +/-10%, REVIEW &lt;= +/-20%, FAIL &gt; +/-20%. * Direct cost = Material+Print+Cutting+Strip+Glue+Freight summed identically on BOTH sides (iQuote TotalActualCost is NOT used for cost comparison — it contains uncategorized cost with no SPOT counterpart).</t>
        </is>
      </c>
    </row>
    <row r="4">
      <c r="A4" s="3" t="inlineStr">
        <is>
          <t>ALL MATCHED SCENARIOS (incl. outliers)</t>
        </is>
      </c>
      <c r="B4" s="4" t="inlineStr"/>
    </row>
    <row r="5">
      <c r="A5" s="5" t="inlineStr">
        <is>
          <t>Scenarios compared</t>
        </is>
      </c>
      <c r="B5" s="5" t="n">
        <v>49</v>
      </c>
    </row>
    <row r="6">
      <c r="A6" s="5" t="inlineStr">
        <is>
          <t>Sell Delta % median (+ = SPOT higher)</t>
        </is>
      </c>
      <c r="B6" s="5" t="inlineStr">
        <is>
          <t>+14.3%</t>
        </is>
      </c>
    </row>
    <row r="7">
      <c r="A7" s="5" t="inlineStr">
        <is>
          <t>Sell Delta % mean</t>
        </is>
      </c>
      <c r="B7" s="5" t="inlineStr">
        <is>
          <t>+20.7%</t>
        </is>
      </c>
    </row>
    <row r="8">
      <c r="A8" s="5" t="inlineStr">
        <is>
          <t>Direct-cost Delta % median *</t>
        </is>
      </c>
      <c r="B8" s="5" t="inlineStr">
        <is>
          <t>+8.7%</t>
        </is>
      </c>
    </row>
    <row r="9">
      <c r="A9" s="5" t="inlineStr">
        <is>
          <t>Within +/-10% (PASS)</t>
        </is>
      </c>
      <c r="B9" s="5" t="inlineStr">
        <is>
          <t>14 of 49</t>
        </is>
      </c>
    </row>
    <row r="10">
      <c r="A10" s="5" t="inlineStr">
        <is>
          <t>Within +/-20% (PASS+REVIEW)</t>
        </is>
      </c>
      <c r="B10" s="5" t="inlineStr">
        <is>
          <t>26 of 49</t>
        </is>
      </c>
    </row>
    <row r="11">
      <c r="A11" s="5" t="inlineStr">
        <is>
          <t>Became-a-Job only: n / median Delta %</t>
        </is>
      </c>
      <c r="B11" s="5" t="inlineStr">
        <is>
          <t>24 / +13.8%</t>
        </is>
      </c>
    </row>
    <row r="13">
      <c r="A13" s="3" t="inlineStr">
        <is>
          <t>EXCLUDING 3 OUTLIER SCENARIOS (see Outliers tab)</t>
        </is>
      </c>
      <c r="B13" s="4" t="inlineStr"/>
    </row>
    <row r="14">
      <c r="A14" s="5" t="inlineStr">
        <is>
          <t>Scenarios compared</t>
        </is>
      </c>
      <c r="B14" s="5" t="n">
        <v>46</v>
      </c>
    </row>
    <row r="15">
      <c r="A15" s="5" t="inlineStr">
        <is>
          <t>Sell Delta % median (+ = SPOT higher)</t>
        </is>
      </c>
      <c r="B15" s="5" t="inlineStr">
        <is>
          <t>+13.2%</t>
        </is>
      </c>
    </row>
    <row r="16">
      <c r="A16" s="5" t="inlineStr">
        <is>
          <t>Sell Delta % mean</t>
        </is>
      </c>
      <c r="B16" s="5" t="inlineStr">
        <is>
          <t>+14.5%</t>
        </is>
      </c>
    </row>
    <row r="17">
      <c r="A17" s="5" t="inlineStr">
        <is>
          <t>Direct-cost Delta % median *</t>
        </is>
      </c>
      <c r="B17" s="5" t="inlineStr">
        <is>
          <t>+8.5%</t>
        </is>
      </c>
    </row>
    <row r="18">
      <c r="A18" s="5" t="inlineStr">
        <is>
          <t>Within +/-10% (PASS)</t>
        </is>
      </c>
      <c r="B18" s="5" t="inlineStr">
        <is>
          <t>14 of 46</t>
        </is>
      </c>
    </row>
    <row r="19">
      <c r="A19" s="5" t="inlineStr">
        <is>
          <t>Within +/-20% (PASS+REVIEW)</t>
        </is>
      </c>
      <c r="B19" s="5" t="inlineStr">
        <is>
          <t>26 of 46</t>
        </is>
      </c>
    </row>
    <row r="20">
      <c r="A20" s="5" t="inlineStr">
        <is>
          <t>Became-a-Job only: n / median Delta %</t>
        </is>
      </c>
      <c r="B20" s="5" t="inlineStr">
        <is>
          <t>23 / +15.5%</t>
        </is>
      </c>
    </row>
    <row r="22">
      <c r="A22" s="3" t="inlineStr">
        <is>
          <t>CATEGORY COST TOTALS — outliers excluded</t>
        </is>
      </c>
    </row>
    <row r="23">
      <c r="A23" s="6" t="inlineStr">
        <is>
          <t>Category</t>
        </is>
      </c>
      <c r="B23" s="6" t="inlineStr">
        <is>
          <t>SPOT $</t>
        </is>
      </c>
      <c r="C23" s="6" t="inlineStr">
        <is>
          <t>iQuote $</t>
        </is>
      </c>
      <c r="D23" s="6" t="inlineStr">
        <is>
          <t>Delta %</t>
        </is>
      </c>
      <c r="E23" s="6" t="inlineStr">
        <is>
          <t>Note</t>
        </is>
      </c>
    </row>
    <row r="24">
      <c r="A24" s="5" t="inlineStr">
        <is>
          <t>Material</t>
        </is>
      </c>
      <c r="B24" s="5" t="n">
        <v>38969.63</v>
      </c>
      <c r="C24" s="5" t="n">
        <v>40430.19</v>
      </c>
      <c r="D24" s="5" t="inlineStr">
        <is>
          <t>-3.6%</t>
        </is>
      </c>
      <c r="E24" s="5" t="inlineStr">
        <is>
          <t>SPOT board book is +6.5% vs iQuote era; like-for-like ~ -11%. Actuals: SPOT within +/-10% of real cost</t>
        </is>
      </c>
    </row>
    <row r="25">
      <c r="A25" s="5" t="inlineStr">
        <is>
          <t>Print</t>
        </is>
      </c>
      <c r="B25" s="5" t="n">
        <v>50056.86</v>
      </c>
      <c r="C25" s="5" t="n">
        <v>33907.21</v>
      </c>
      <c r="D25" s="7" t="inlineStr">
        <is>
          <t>+47.6%</t>
        </is>
      </c>
      <c r="E25" s="5" t="inlineStr">
        <is>
          <t>vs ACTUALS: SPOT -14%, iQuote -49% — iQuote under-costs print; SPOT close to reality</t>
        </is>
      </c>
    </row>
    <row r="26">
      <c r="A26" s="5" t="inlineStr">
        <is>
          <t>Cutting</t>
        </is>
      </c>
      <c r="B26" s="5" t="n">
        <v>23110.25</v>
      </c>
      <c r="C26" s="5" t="n">
        <v>25358.27</v>
      </c>
      <c r="D26" s="5" t="inlineStr">
        <is>
          <t>-8.9%</t>
        </is>
      </c>
      <c r="E26" s="5" t="inlineStr">
        <is>
          <t>BOTH systems under actuals (~-32/-41%) — legacy-inherited cut speed; fix bookmarked (Cutting Deep-Dive tab)</t>
        </is>
      </c>
    </row>
    <row r="27">
      <c r="A27" s="5" t="inlineStr">
        <is>
          <t>Strip</t>
        </is>
      </c>
      <c r="B27" s="5" t="n">
        <v>2750.88</v>
      </c>
      <c r="C27" s="5" t="n">
        <v>4636.16</v>
      </c>
      <c r="D27" s="7" t="inlineStr">
        <is>
          <t>-40.7%</t>
        </is>
      </c>
      <c r="E27" s="5" t="inlineStr">
        <is>
          <t>Verify what iQuote HandStrip includes before concluding</t>
        </is>
      </c>
    </row>
    <row r="28">
      <c r="A28" s="5" t="inlineStr">
        <is>
          <t>Glue</t>
        </is>
      </c>
      <c r="B28" s="5" t="n">
        <v>3632.87</v>
      </c>
      <c r="C28" s="5" t="n">
        <v>2148</v>
      </c>
      <c r="D28" s="7" t="inlineStr">
        <is>
          <t>+69.1%</t>
        </is>
      </c>
      <c r="E28" s="5" t="inlineStr">
        <is>
          <t>Small dollars</t>
        </is>
      </c>
    </row>
    <row r="29">
      <c r="A29" s="5" t="inlineStr">
        <is>
          <t>Freight</t>
        </is>
      </c>
      <c r="B29" s="5" t="n">
        <v>5972.88</v>
      </c>
      <c r="C29" s="5" t="n">
        <v>6160.63</v>
      </c>
      <c r="D29" s="5" t="inlineStr">
        <is>
          <t>-3.0%</t>
        </is>
      </c>
      <c r="E29" s="5" t="inlineStr">
        <is>
          <t>Well aligned</t>
        </is>
      </c>
    </row>
    <row r="31" ht="14" customHeight="1">
      <c r="A31" s="8" t="inlineStr">
        <is>
          <t>KEY FINDINGS</t>
        </is>
      </c>
    </row>
    <row r="32" ht="26" customHeight="1">
      <c r="A32" s="9" t="inlineStr">
        <is>
          <t>1. SPOT prices a median +13.2% vs iQuote (outliers excluded); direct-cost delta median +8.5%.</t>
        </is>
      </c>
    </row>
    <row r="33" ht="26" customHeight="1">
      <c r="A33" s="9" t="inlineStr">
        <is>
          <t>2. Ground truth (9 produced jobs): invoiced $18,131 vs actual cost $22,305 = -23% margin; 5 of 9 lost money. At SPOT prices ($21,277) the work is near break-even (-5%). iQuote has been winning work below cost.</t>
        </is>
      </c>
    </row>
    <row r="34" ht="26" customHeight="1">
      <c r="A34" s="9" t="inlineStr">
        <is>
          <t>3. vs ACTUALS: SPOT is closer than iQuote in every category (Material +/-10%, Print -14% vs -49%, Cutting -32% vs -41%).</t>
        </is>
      </c>
    </row>
    <row r="35" ht="26" customHeight="1">
      <c r="A35" s="9" t="inlineStr">
        <is>
          <t>4. Cutting under-costing is legacy-inherited (650 in/min assumed vs ~165 real). Fix = two admin values, BOOKMARKED pending leadership.</t>
        </is>
      </c>
    </row>
    <row r="36" ht="26" customHeight="1">
      <c r="A36" s="9" t="inlineStr">
        <is>
          <t>5. Small quantities (&lt;=50) skew SPOT-high (+45-88%); a few large die-cut kits run SPOT-low (-16 to -34%).</t>
        </is>
      </c>
    </row>
    <row r="37" ht="26" customHeight="1">
      <c r="A37" s="9" t="inlineStr">
        <is>
          <t>6. Outliers: eggcrate component anomaly (~18x, suspected bug, not yet traced) and one kit modeling mismatch that became a job at ~2x SPOT price.</t>
        </is>
      </c>
    </row>
  </sheetData>
  <mergeCells count="8">
    <mergeCell ref="A2:F2"/>
    <mergeCell ref="A33:F33"/>
    <mergeCell ref="A36:F36"/>
    <mergeCell ref="A37:F37"/>
    <mergeCell ref="A32:F32"/>
    <mergeCell ref="A31:F31"/>
    <mergeCell ref="A34:F34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8" customWidth="1" min="9" max="9"/>
    <col width="12" customWidth="1" min="10" max="10"/>
    <col width="13" customWidth="1" min="11" max="11"/>
    <col width="9" customWidth="1" min="12" max="12"/>
    <col width="9" customWidth="1" min="13" max="13"/>
    <col width="8" customWidth="1" min="14" max="14"/>
    <col width="50" customWidth="1" min="15" max="15"/>
  </cols>
  <sheetData>
    <row r="1">
      <c r="A1" s="6" t="inlineStr">
        <is>
          <t>SPOT Estimate #</t>
        </is>
      </c>
      <c r="B1" s="6" t="inlineStr">
        <is>
          <t>iQuote #</t>
        </is>
      </c>
      <c r="C1" s="6" t="inlineStr">
        <is>
          <t>Became Job</t>
        </is>
      </c>
      <c r="D1" s="6" t="inlineStr">
        <is>
          <t>Qty</t>
        </is>
      </c>
      <c r="E1" s="6" t="inlineStr">
        <is>
          <t>iQuote Option</t>
        </is>
      </c>
      <c r="F1" s="6" t="inlineStr">
        <is>
          <t>SPOT Sell $</t>
        </is>
      </c>
      <c r="G1" s="6" t="inlineStr">
        <is>
          <t>iQuote Sell $</t>
        </is>
      </c>
      <c r="H1" s="6" t="inlineStr">
        <is>
          <t>Delta $</t>
        </is>
      </c>
      <c r="I1" s="6" t="inlineStr">
        <is>
          <t>Delta %</t>
        </is>
      </c>
      <c r="J1" s="6" t="inlineStr">
        <is>
          <t>SPOT Direct Cost $</t>
        </is>
      </c>
      <c r="K1" s="6" t="inlineStr">
        <is>
          <t>iQuote Direct Cost $</t>
        </is>
      </c>
      <c r="L1" s="6" t="inlineStr">
        <is>
          <t>Cost Delta %</t>
        </is>
      </c>
      <c r="M1" s="6" t="inlineStr">
        <is>
          <t>Verdict</t>
        </is>
      </c>
      <c r="N1" s="6" t="inlineStr">
        <is>
          <t>Outlier</t>
        </is>
      </c>
      <c r="O1" s="6" t="inlineStr">
        <is>
          <t>Note</t>
        </is>
      </c>
    </row>
    <row r="2">
      <c r="A2" s="10" t="inlineStr">
        <is>
          <t>RW-260723-084853</t>
        </is>
      </c>
      <c r="B2" s="10" t="n">
        <v>223791</v>
      </c>
      <c r="C2" s="10" t="inlineStr">
        <is>
          <t>No</t>
        </is>
      </c>
      <c r="D2" s="10" t="inlineStr">
        <is>
          <t>8</t>
        </is>
      </c>
      <c r="E2" s="10" t="inlineStr">
        <is>
          <t>Option 1</t>
        </is>
      </c>
      <c r="F2" s="10" t="n">
        <v>14773.92</v>
      </c>
      <c r="G2" s="10" t="n">
        <v>4461.64</v>
      </c>
      <c r="H2" s="10" t="n">
        <v>10312.28</v>
      </c>
      <c r="I2" s="10" t="n">
        <v>231.1</v>
      </c>
      <c r="J2" s="10" t="n">
        <v>9521.459999999999</v>
      </c>
      <c r="K2" s="10" t="n">
        <v>2338.79</v>
      </c>
      <c r="L2" s="10" t="n">
        <v>307.1</v>
      </c>
      <c r="M2" s="11" t="inlineStr">
        <is>
          <t>FAIL</t>
        </is>
      </c>
      <c r="N2" s="11" t="inlineStr">
        <is>
          <t>YES</t>
        </is>
      </c>
      <c r="O2" s="10" t="inlineStr">
        <is>
          <t>Eggcrate component anomaly: SPOT $9,570 vs iQuote $523 (~18x) on 'Bottom Shelf Eggcrate &amp; 4th Roll Up' (Saber + D/C route). Other components on quote are +20-35%. Suspected SPOT setup/route bug — under investigation.</t>
        </is>
      </c>
    </row>
    <row r="3">
      <c r="A3" s="10" t="inlineStr">
        <is>
          <t>RW-260723-084853</t>
        </is>
      </c>
      <c r="B3" s="10" t="n">
        <v>223791</v>
      </c>
      <c r="C3" s="10" t="inlineStr">
        <is>
          <t>No</t>
        </is>
      </c>
      <c r="D3" s="10" t="inlineStr">
        <is>
          <t>15</t>
        </is>
      </c>
      <c r="E3" s="10" t="inlineStr">
        <is>
          <t>Option 1</t>
        </is>
      </c>
      <c r="F3" s="10" t="n">
        <v>14889.07</v>
      </c>
      <c r="G3" s="10" t="n">
        <v>5653.51</v>
      </c>
      <c r="H3" s="10" t="n">
        <v>9235.559999999999</v>
      </c>
      <c r="I3" s="10" t="n">
        <v>163.4</v>
      </c>
      <c r="J3" s="10" t="n">
        <v>9147.889999999999</v>
      </c>
      <c r="K3" s="10" t="n">
        <v>3154.83</v>
      </c>
      <c r="L3" s="10" t="n">
        <v>190</v>
      </c>
      <c r="M3" s="11" t="inlineStr">
        <is>
          <t>FAIL</t>
        </is>
      </c>
      <c r="N3" s="11" t="inlineStr">
        <is>
          <t>YES</t>
        </is>
      </c>
      <c r="O3" s="10" t="inlineStr">
        <is>
          <t>Same eggcrate anomaly ($7,840 vs $648). SPOT prices qty 8 HIGHER than qty 15 — inverted, confirms something is wrong in that component.</t>
        </is>
      </c>
    </row>
    <row r="4">
      <c r="A4" s="10" t="inlineStr">
        <is>
          <t>RW-260727-080830</t>
        </is>
      </c>
      <c r="B4" s="10" t="n">
        <v>223209</v>
      </c>
      <c r="C4" s="10" t="inlineStr">
        <is>
          <t>Yes</t>
        </is>
      </c>
      <c r="D4" s="10" t="inlineStr">
        <is>
          <t>1</t>
        </is>
      </c>
      <c r="E4" s="10" t="inlineStr">
        <is>
          <t>Option 1</t>
        </is>
      </c>
      <c r="F4" s="10" t="n">
        <v>453.63</v>
      </c>
      <c r="G4" s="10" t="n">
        <v>241.9</v>
      </c>
      <c r="H4" s="10" t="n">
        <v>211.73</v>
      </c>
      <c r="I4" s="10" t="n">
        <v>87.5</v>
      </c>
      <c r="J4" s="10" t="n">
        <v>249.32</v>
      </c>
      <c r="K4" s="10" t="n">
        <v>182.68</v>
      </c>
      <c r="L4" s="10" t="n">
        <v>36.5</v>
      </c>
      <c r="M4" s="11" t="inlineStr">
        <is>
          <t>FAIL</t>
        </is>
      </c>
      <c r="N4" s="10" t="inlineStr"/>
      <c r="O4" s="10" t="inlineStr"/>
    </row>
    <row r="5">
      <c r="A5" s="10" t="inlineStr">
        <is>
          <t>RW-260724-153643</t>
        </is>
      </c>
      <c r="B5" s="10" t="n">
        <v>223851</v>
      </c>
      <c r="C5" s="10" t="inlineStr">
        <is>
          <t>No</t>
        </is>
      </c>
      <c r="D5" s="10" t="inlineStr">
        <is>
          <t>25</t>
        </is>
      </c>
      <c r="E5" s="10" t="inlineStr">
        <is>
          <t>Option 1</t>
        </is>
      </c>
      <c r="F5" s="10" t="n">
        <v>1905.9</v>
      </c>
      <c r="G5" s="10" t="n">
        <v>1079.65</v>
      </c>
      <c r="H5" s="10" t="n">
        <v>826.25</v>
      </c>
      <c r="I5" s="10" t="n">
        <v>76.5</v>
      </c>
      <c r="J5" s="10" t="n">
        <v>804.87</v>
      </c>
      <c r="K5" s="10" t="n">
        <v>740.4400000000001</v>
      </c>
      <c r="L5" s="10" t="n">
        <v>8.699999999999999</v>
      </c>
      <c r="M5" s="11" t="inlineStr">
        <is>
          <t>FAIL</t>
        </is>
      </c>
      <c r="N5" s="10" t="inlineStr"/>
      <c r="O5" s="10" t="inlineStr"/>
    </row>
    <row r="6">
      <c r="A6" s="10" t="inlineStr">
        <is>
          <t>RW-260717-111921</t>
        </is>
      </c>
      <c r="B6" s="10" t="n">
        <v>223706</v>
      </c>
      <c r="C6" s="10" t="inlineStr">
        <is>
          <t>No</t>
        </is>
      </c>
      <c r="D6" s="10" t="inlineStr">
        <is>
          <t>2/4/8 kit</t>
        </is>
      </c>
      <c r="E6" s="10" t="inlineStr">
        <is>
          <t>Option 1</t>
        </is>
      </c>
      <c r="F6" s="10" t="n">
        <v>2859.44</v>
      </c>
      <c r="G6" s="10" t="n">
        <v>1803.46</v>
      </c>
      <c r="H6" s="10" t="n">
        <v>1055.98</v>
      </c>
      <c r="I6" s="10" t="n">
        <v>58.6</v>
      </c>
      <c r="J6" s="10" t="n">
        <v>1571.83</v>
      </c>
      <c r="K6" s="10" t="n">
        <v>978.9299999999999</v>
      </c>
      <c r="L6" s="10" t="n">
        <v>60.6</v>
      </c>
      <c r="M6" s="11" t="inlineStr">
        <is>
          <t>FAIL</t>
        </is>
      </c>
      <c r="N6" s="10" t="inlineStr"/>
      <c r="O6" s="10" t="inlineStr"/>
    </row>
    <row r="7">
      <c r="A7" s="10" t="inlineStr">
        <is>
          <t>RW-260722-090416</t>
        </is>
      </c>
      <c r="B7" s="10" t="n">
        <v>223590</v>
      </c>
      <c r="C7" s="10" t="inlineStr">
        <is>
          <t>Yes</t>
        </is>
      </c>
      <c r="D7" s="10" t="inlineStr">
        <is>
          <t>50</t>
        </is>
      </c>
      <c r="E7" s="10" t="inlineStr">
        <is>
          <t>Option 1</t>
        </is>
      </c>
      <c r="F7" s="10" t="n">
        <v>1120.73</v>
      </c>
      <c r="G7" s="10" t="n">
        <v>724.2</v>
      </c>
      <c r="H7" s="10" t="n">
        <v>396.53</v>
      </c>
      <c r="I7" s="10" t="n">
        <v>54.8</v>
      </c>
      <c r="J7" s="10" t="n">
        <v>570.37</v>
      </c>
      <c r="K7" s="10" t="n">
        <v>512.99</v>
      </c>
      <c r="L7" s="10" t="n">
        <v>11.2</v>
      </c>
      <c r="M7" s="11" t="inlineStr">
        <is>
          <t>FAIL</t>
        </is>
      </c>
      <c r="N7" s="10" t="inlineStr"/>
      <c r="O7" s="10" t="inlineStr"/>
    </row>
    <row r="8">
      <c r="A8" s="10" t="inlineStr">
        <is>
          <t>RW-260730-115948</t>
        </is>
      </c>
      <c r="B8" s="10" t="n">
        <v>223880</v>
      </c>
      <c r="C8" s="10" t="inlineStr">
        <is>
          <t>Yes</t>
        </is>
      </c>
      <c r="D8" s="10" t="inlineStr">
        <is>
          <t>22000</t>
        </is>
      </c>
      <c r="E8" s="10" t="inlineStr">
        <is>
          <t>CAD cut</t>
        </is>
      </c>
      <c r="F8" s="10" t="n">
        <v>3416.08</v>
      </c>
      <c r="G8" s="10" t="n">
        <v>2279.73</v>
      </c>
      <c r="H8" s="10" t="n">
        <v>1136.35</v>
      </c>
      <c r="I8" s="10" t="n">
        <v>49.8</v>
      </c>
      <c r="J8" s="10" t="n">
        <v>2205.73</v>
      </c>
      <c r="K8" s="10" t="n">
        <v>1625.14</v>
      </c>
      <c r="L8" s="10" t="n">
        <v>35.7</v>
      </c>
      <c r="M8" s="11" t="inlineStr">
        <is>
          <t>FAIL</t>
        </is>
      </c>
      <c r="N8" s="10" t="inlineStr"/>
      <c r="O8" s="10" t="inlineStr"/>
    </row>
    <row r="9">
      <c r="A9" s="10" t="inlineStr">
        <is>
          <t>RW-260730-154720</t>
        </is>
      </c>
      <c r="B9" s="10" t="n">
        <v>223784</v>
      </c>
      <c r="C9" s="10" t="inlineStr">
        <is>
          <t>Yes</t>
        </is>
      </c>
      <c r="D9" s="10" t="inlineStr">
        <is>
          <t>1</t>
        </is>
      </c>
      <c r="E9" s="10" t="inlineStr">
        <is>
          <t>Option 1</t>
        </is>
      </c>
      <c r="F9" s="10" t="n">
        <v>1331.14</v>
      </c>
      <c r="G9" s="10" t="n">
        <v>906.92</v>
      </c>
      <c r="H9" s="10" t="n">
        <v>424.22</v>
      </c>
      <c r="I9" s="10" t="n">
        <v>46.8</v>
      </c>
      <c r="J9" s="10" t="n">
        <v>495.59</v>
      </c>
      <c r="K9" s="10" t="n">
        <v>504.31</v>
      </c>
      <c r="L9" s="10" t="n">
        <v>-1.7</v>
      </c>
      <c r="M9" s="11" t="inlineStr">
        <is>
          <t>FAIL</t>
        </is>
      </c>
      <c r="N9" s="10" t="inlineStr"/>
      <c r="O9" s="10" t="inlineStr"/>
    </row>
    <row r="10">
      <c r="A10" s="10" t="inlineStr">
        <is>
          <t>RW-260727-090826</t>
        </is>
      </c>
      <c r="B10" s="10" t="n">
        <v>223590</v>
      </c>
      <c r="C10" s="10" t="inlineStr">
        <is>
          <t>Yes</t>
        </is>
      </c>
      <c r="D10" s="10" t="inlineStr">
        <is>
          <t>50</t>
        </is>
      </c>
      <c r="E10" s="10" t="inlineStr">
        <is>
          <t>Option 1</t>
        </is>
      </c>
      <c r="F10" s="10" t="n">
        <v>1050.73</v>
      </c>
      <c r="G10" s="10" t="n">
        <v>724.2</v>
      </c>
      <c r="H10" s="10" t="n">
        <v>326.53</v>
      </c>
      <c r="I10" s="10" t="n">
        <v>45.1</v>
      </c>
      <c r="J10" s="10" t="n">
        <v>500.37</v>
      </c>
      <c r="K10" s="10" t="n">
        <v>512.99</v>
      </c>
      <c r="L10" s="10" t="n">
        <v>-2.5</v>
      </c>
      <c r="M10" s="11" t="inlineStr">
        <is>
          <t>FAIL</t>
        </is>
      </c>
      <c r="N10" s="10" t="inlineStr"/>
      <c r="O10" s="10" t="inlineStr"/>
    </row>
    <row r="11">
      <c r="A11" s="10" t="inlineStr">
        <is>
          <t>RW-260720-082503</t>
        </is>
      </c>
      <c r="B11" s="10" t="n">
        <v>223583</v>
      </c>
      <c r="C11" s="10" t="inlineStr">
        <is>
          <t>Yes</t>
        </is>
      </c>
      <c r="D11" s="10" t="inlineStr">
        <is>
          <t>918+1750</t>
        </is>
      </c>
      <c r="E11" s="10" t="inlineStr">
        <is>
          <t>Option 1 (kit)</t>
        </is>
      </c>
      <c r="F11" s="10" t="n">
        <v>9023.129999999999</v>
      </c>
      <c r="G11" s="10" t="n">
        <v>16354.54</v>
      </c>
      <c r="H11" s="10" t="n">
        <v>-7331.41</v>
      </c>
      <c r="I11" s="10" t="n">
        <v>-44.8</v>
      </c>
      <c r="J11" s="10" t="n">
        <v>6165.28</v>
      </c>
      <c r="K11" s="10" t="n">
        <v>9837.790000000001</v>
      </c>
      <c r="L11" s="10" t="n">
        <v>-37.3</v>
      </c>
      <c r="M11" s="11" t="inlineStr">
        <is>
          <t>FAIL</t>
        </is>
      </c>
      <c r="N11" s="11" t="inlineStr">
        <is>
          <t>YES</t>
        </is>
      </c>
      <c r="O11" s="10" t="inlineStr">
        <is>
          <t>Modeling mismatch: SPOT priced ONE header at 2 qty tiers; iQuote priced TWO distinct products (222300 + 222301) as a kit. BECAME A JOB at iQuote's $16,354 — verify the SPOT estimate captured both items before treating as engine error.</t>
        </is>
      </c>
    </row>
    <row r="12">
      <c r="A12" s="10" t="inlineStr">
        <is>
          <t>RW-260730-153734</t>
        </is>
      </c>
      <c r="B12" s="10" t="n">
        <v>223837</v>
      </c>
      <c r="C12" s="10" t="inlineStr">
        <is>
          <t>Yes</t>
        </is>
      </c>
      <c r="D12" s="10" t="inlineStr">
        <is>
          <t>500</t>
        </is>
      </c>
      <c r="E12" s="10" t="inlineStr">
        <is>
          <t>Option 1</t>
        </is>
      </c>
      <c r="F12" s="10" t="n">
        <v>1668.47</v>
      </c>
      <c r="G12" s="10" t="n">
        <v>1221.28</v>
      </c>
      <c r="H12" s="10" t="n">
        <v>447.19</v>
      </c>
      <c r="I12" s="10" t="n">
        <v>36.6</v>
      </c>
      <c r="J12" s="10" t="n">
        <v>816.87</v>
      </c>
      <c r="K12" s="10" t="n">
        <v>814.1900000000001</v>
      </c>
      <c r="L12" s="10" t="n">
        <v>0.3</v>
      </c>
      <c r="M12" s="11" t="inlineStr">
        <is>
          <t>FAIL</t>
        </is>
      </c>
      <c r="N12" s="10" t="inlineStr"/>
      <c r="O12" s="10" t="inlineStr"/>
    </row>
    <row r="13">
      <c r="A13" s="10" t="inlineStr">
        <is>
          <t>RW-260720-112723</t>
        </is>
      </c>
      <c r="B13" s="10" t="n">
        <v>223707</v>
      </c>
      <c r="C13" s="10" t="inlineStr">
        <is>
          <t>No</t>
        </is>
      </c>
      <c r="D13" s="10" t="inlineStr">
        <is>
          <t>1300</t>
        </is>
      </c>
      <c r="E13" s="10" t="inlineStr">
        <is>
          <t>Option 1</t>
        </is>
      </c>
      <c r="F13" s="10" t="n">
        <v>3661.24</v>
      </c>
      <c r="G13" s="10" t="n">
        <v>5528.87</v>
      </c>
      <c r="H13" s="10" t="n">
        <v>-1867.63</v>
      </c>
      <c r="I13" s="10" t="n">
        <v>-33.8</v>
      </c>
      <c r="J13" s="10" t="n">
        <v>2636.21</v>
      </c>
      <c r="K13" s="10" t="n">
        <v>3573.81</v>
      </c>
      <c r="L13" s="10" t="n">
        <v>-26.2</v>
      </c>
      <c r="M13" s="11" t="inlineStr">
        <is>
          <t>FAIL</t>
        </is>
      </c>
      <c r="N13" s="10" t="inlineStr"/>
      <c r="O13" s="10" t="inlineStr"/>
    </row>
    <row r="14">
      <c r="A14" s="10" t="inlineStr">
        <is>
          <t>RW-260629-132636</t>
        </is>
      </c>
      <c r="B14" s="10" t="n">
        <v>223389</v>
      </c>
      <c r="C14" s="10" t="inlineStr">
        <is>
          <t>No</t>
        </is>
      </c>
      <c r="D14" s="10" t="inlineStr">
        <is>
          <t>1700</t>
        </is>
      </c>
      <c r="E14" s="10" t="inlineStr">
        <is>
          <t>Option 1</t>
        </is>
      </c>
      <c r="F14" s="10" t="n">
        <v>2768.73</v>
      </c>
      <c r="G14" s="10" t="n">
        <v>4029.71</v>
      </c>
      <c r="H14" s="10" t="n">
        <v>-1260.98</v>
      </c>
      <c r="I14" s="10" t="n">
        <v>-31.3</v>
      </c>
      <c r="J14" s="10" t="n">
        <v>1913.14</v>
      </c>
      <c r="K14" s="10" t="n">
        <v>2088.26</v>
      </c>
      <c r="L14" s="10" t="n">
        <v>-8.4</v>
      </c>
      <c r="M14" s="11" t="inlineStr">
        <is>
          <t>FAIL</t>
        </is>
      </c>
      <c r="N14" s="10" t="inlineStr"/>
      <c r="O14" s="10" t="inlineStr"/>
    </row>
    <row r="15">
      <c r="A15" s="10" t="inlineStr">
        <is>
          <t>RW-260722-095152</t>
        </is>
      </c>
      <c r="B15" s="10" t="n">
        <v>223575</v>
      </c>
      <c r="C15" s="10" t="inlineStr">
        <is>
          <t>Yes</t>
        </is>
      </c>
      <c r="D15" s="10" t="inlineStr">
        <is>
          <t>500</t>
        </is>
      </c>
      <c r="E15" s="10" t="inlineStr">
        <is>
          <t>Option 1</t>
        </is>
      </c>
      <c r="F15" s="10" t="n">
        <v>1288.67</v>
      </c>
      <c r="G15" s="10" t="n">
        <v>985.09</v>
      </c>
      <c r="H15" s="10" t="n">
        <v>303.58</v>
      </c>
      <c r="I15" s="10" t="n">
        <v>30.8</v>
      </c>
      <c r="J15" s="10" t="n">
        <v>666.8200000000001</v>
      </c>
      <c r="K15" s="10" t="n">
        <v>572.62</v>
      </c>
      <c r="L15" s="10" t="n">
        <v>16.5</v>
      </c>
      <c r="M15" s="11" t="inlineStr">
        <is>
          <t>FAIL</t>
        </is>
      </c>
      <c r="N15" s="10" t="inlineStr"/>
      <c r="O15" s="10" t="inlineStr"/>
    </row>
    <row r="16">
      <c r="A16" s="10" t="inlineStr">
        <is>
          <t>RW-260622-133707</t>
        </is>
      </c>
      <c r="B16" s="10" t="n">
        <v>222085</v>
      </c>
      <c r="C16" s="10" t="inlineStr">
        <is>
          <t>No</t>
        </is>
      </c>
      <c r="D16" s="10" t="inlineStr">
        <is>
          <t>515</t>
        </is>
      </c>
      <c r="E16" s="10" t="inlineStr">
        <is>
          <t>RSC/Filler/Tray</t>
        </is>
      </c>
      <c r="F16" s="10" t="n">
        <v>5763.82</v>
      </c>
      <c r="G16" s="10" t="n">
        <v>8118.47</v>
      </c>
      <c r="H16" s="10" t="n">
        <v>-2354.65</v>
      </c>
      <c r="I16" s="10" t="n">
        <v>-29</v>
      </c>
      <c r="J16" s="10" t="n">
        <v>3855.26</v>
      </c>
      <c r="K16" s="10" t="n">
        <v>3665.14</v>
      </c>
      <c r="L16" s="10" t="n">
        <v>5.2</v>
      </c>
      <c r="M16" s="11" t="inlineStr">
        <is>
          <t>FAIL</t>
        </is>
      </c>
      <c r="N16" s="10" t="inlineStr"/>
      <c r="O16" s="10" t="inlineStr"/>
    </row>
    <row r="17">
      <c r="A17" s="10" t="inlineStr">
        <is>
          <t>RW-260727-144121</t>
        </is>
      </c>
      <c r="B17" s="10" t="n">
        <v>223575</v>
      </c>
      <c r="C17" s="10" t="inlineStr">
        <is>
          <t>Yes</t>
        </is>
      </c>
      <c r="D17" s="10" t="inlineStr">
        <is>
          <t>500</t>
        </is>
      </c>
      <c r="E17" s="10" t="inlineStr">
        <is>
          <t>Option 1</t>
        </is>
      </c>
      <c r="F17" s="10" t="n">
        <v>1259.41</v>
      </c>
      <c r="G17" s="10" t="n">
        <v>985.09</v>
      </c>
      <c r="H17" s="10" t="n">
        <v>274.32</v>
      </c>
      <c r="I17" s="10" t="n">
        <v>27.8</v>
      </c>
      <c r="J17" s="10" t="n">
        <v>652.2</v>
      </c>
      <c r="K17" s="10" t="n">
        <v>572.62</v>
      </c>
      <c r="L17" s="10" t="n">
        <v>13.9</v>
      </c>
      <c r="M17" s="11" t="inlineStr">
        <is>
          <t>FAIL</t>
        </is>
      </c>
      <c r="N17" s="10" t="inlineStr"/>
      <c r="O17" s="10" t="inlineStr"/>
    </row>
    <row r="18">
      <c r="A18" s="10" t="inlineStr">
        <is>
          <t>RW-260706-110912</t>
        </is>
      </c>
      <c r="B18" s="10" t="n">
        <v>223498</v>
      </c>
      <c r="C18" s="10" t="inlineStr">
        <is>
          <t>No</t>
        </is>
      </c>
      <c r="D18" s="10" t="inlineStr">
        <is>
          <t>500</t>
        </is>
      </c>
      <c r="E18" s="10" t="inlineStr">
        <is>
          <t>Option 1</t>
        </is>
      </c>
      <c r="F18" s="10" t="n">
        <v>1478.65</v>
      </c>
      <c r="G18" s="10" t="n">
        <v>1168.02</v>
      </c>
      <c r="H18" s="10" t="n">
        <v>310.63</v>
      </c>
      <c r="I18" s="10" t="n">
        <v>26.6</v>
      </c>
      <c r="J18" s="10" t="n">
        <v>808.3</v>
      </c>
      <c r="K18" s="10" t="n">
        <v>762.05</v>
      </c>
      <c r="L18" s="10" t="n">
        <v>6.1</v>
      </c>
      <c r="M18" s="11" t="inlineStr">
        <is>
          <t>FAIL</t>
        </is>
      </c>
      <c r="N18" s="10" t="inlineStr"/>
      <c r="O18" s="10" t="inlineStr"/>
    </row>
    <row r="19">
      <c r="A19" s="10" t="inlineStr">
        <is>
          <t>RW-260727-102959</t>
        </is>
      </c>
      <c r="B19" s="10" t="n">
        <v>223393</v>
      </c>
      <c r="C19" s="10" t="inlineStr">
        <is>
          <t>Yes</t>
        </is>
      </c>
      <c r="D19" s="10" t="inlineStr">
        <is>
          <t>230</t>
        </is>
      </c>
      <c r="E19" s="10" t="inlineStr">
        <is>
          <t>Option 1</t>
        </is>
      </c>
      <c r="F19" s="10" t="n">
        <v>1753.9</v>
      </c>
      <c r="G19" s="10" t="n">
        <v>1387.27</v>
      </c>
      <c r="H19" s="10" t="n">
        <v>366.63</v>
      </c>
      <c r="I19" s="10" t="n">
        <v>26.4</v>
      </c>
      <c r="J19" s="10" t="n">
        <v>1142.04</v>
      </c>
      <c r="K19" s="10" t="n">
        <v>882.17</v>
      </c>
      <c r="L19" s="10" t="n">
        <v>29.5</v>
      </c>
      <c r="M19" s="11" t="inlineStr">
        <is>
          <t>FAIL</t>
        </is>
      </c>
      <c r="N19" s="10" t="inlineStr"/>
      <c r="O19" s="10" t="inlineStr"/>
    </row>
    <row r="20">
      <c r="A20" s="10" t="inlineStr">
        <is>
          <t>RW-260706-094426</t>
        </is>
      </c>
      <c r="B20" s="10" t="n">
        <v>223488</v>
      </c>
      <c r="C20" s="10" t="inlineStr">
        <is>
          <t>No</t>
        </is>
      </c>
      <c r="D20" s="10" t="inlineStr">
        <is>
          <t>300</t>
        </is>
      </c>
      <c r="E20" s="10" t="inlineStr">
        <is>
          <t>CAD 1-Side (mailer only)</t>
        </is>
      </c>
      <c r="F20" s="10" t="n">
        <v>1952.9</v>
      </c>
      <c r="G20" s="10" t="n">
        <v>1548.37</v>
      </c>
      <c r="H20" s="10" t="n">
        <v>404.53</v>
      </c>
      <c r="I20" s="10" t="n">
        <v>26.1</v>
      </c>
      <c r="J20" s="10" t="n">
        <v>1326.32</v>
      </c>
      <c r="K20" s="10" t="n">
        <v>1035.04</v>
      </c>
      <c r="L20" s="10" t="n">
        <v>28.1</v>
      </c>
      <c r="M20" s="11" t="inlineStr">
        <is>
          <t>FAIL</t>
        </is>
      </c>
      <c r="N20" s="10" t="inlineStr"/>
      <c r="O20" s="10" t="inlineStr">
        <is>
          <t>per-component; 4 inserts have no iQuote counterpart</t>
        </is>
      </c>
    </row>
    <row r="21">
      <c r="A21" s="10" t="inlineStr">
        <is>
          <t>RW-260706-110912</t>
        </is>
      </c>
      <c r="B21" s="10" t="n">
        <v>223498</v>
      </c>
      <c r="C21" s="10" t="inlineStr">
        <is>
          <t>No</t>
        </is>
      </c>
      <c r="D21" s="10" t="inlineStr">
        <is>
          <t>350</t>
        </is>
      </c>
      <c r="E21" s="10" t="inlineStr">
        <is>
          <t>Option 1</t>
        </is>
      </c>
      <c r="F21" s="10" t="n">
        <v>1208.46</v>
      </c>
      <c r="G21" s="10" t="n">
        <v>958.6</v>
      </c>
      <c r="H21" s="10" t="n">
        <v>249.86</v>
      </c>
      <c r="I21" s="10" t="n">
        <v>26.1</v>
      </c>
      <c r="J21" s="10" t="n">
        <v>673.2</v>
      </c>
      <c r="K21" s="10" t="n">
        <v>617.4299999999999</v>
      </c>
      <c r="L21" s="10" t="n">
        <v>9</v>
      </c>
      <c r="M21" s="11" t="inlineStr">
        <is>
          <t>FAIL</t>
        </is>
      </c>
      <c r="N21" s="10" t="inlineStr"/>
      <c r="O21" s="10" t="inlineStr"/>
    </row>
    <row r="22">
      <c r="A22" s="10" t="inlineStr">
        <is>
          <t>RW-260724-113737</t>
        </is>
      </c>
      <c r="B22" s="10" t="n">
        <v>223651</v>
      </c>
      <c r="C22" s="10" t="inlineStr">
        <is>
          <t>Yes</t>
        </is>
      </c>
      <c r="D22" s="10" t="inlineStr">
        <is>
          <t>59</t>
        </is>
      </c>
      <c r="E22" s="10" t="inlineStr">
        <is>
          <t>Option 1</t>
        </is>
      </c>
      <c r="F22" s="10" t="n">
        <v>194.89</v>
      </c>
      <c r="G22" s="10" t="n">
        <v>157.17</v>
      </c>
      <c r="H22" s="10" t="n">
        <v>37.72</v>
      </c>
      <c r="I22" s="10" t="n">
        <v>24</v>
      </c>
      <c r="J22" s="10" t="n">
        <v>97.45</v>
      </c>
      <c r="K22" s="10" t="n">
        <v>100.92</v>
      </c>
      <c r="L22" s="10" t="n">
        <v>-3.4</v>
      </c>
      <c r="M22" s="11" t="inlineStr">
        <is>
          <t>FAIL</t>
        </is>
      </c>
      <c r="N22" s="10" t="inlineStr"/>
      <c r="O22" s="10" t="inlineStr"/>
    </row>
    <row r="23">
      <c r="A23" s="10" t="inlineStr">
        <is>
          <t>RW-260727-105300</t>
        </is>
      </c>
      <c r="B23" s="10" t="n">
        <v>223376</v>
      </c>
      <c r="C23" s="10" t="inlineStr">
        <is>
          <t>Yes</t>
        </is>
      </c>
      <c r="D23" s="10" t="inlineStr">
        <is>
          <t>75/150 kit</t>
        </is>
      </c>
      <c r="E23" s="10" t="inlineStr">
        <is>
          <t>Option 1</t>
        </is>
      </c>
      <c r="F23" s="10" t="n">
        <v>3798.03</v>
      </c>
      <c r="G23" s="10" t="n">
        <v>3134.12</v>
      </c>
      <c r="H23" s="10" t="n">
        <v>663.91</v>
      </c>
      <c r="I23" s="10" t="n">
        <v>21.2</v>
      </c>
      <c r="J23" s="10" t="n">
        <v>2267.45</v>
      </c>
      <c r="K23" s="10" t="n">
        <v>1948.51</v>
      </c>
      <c r="L23" s="10" t="n">
        <v>16.4</v>
      </c>
      <c r="M23" s="11" t="inlineStr">
        <is>
          <t>FAIL</t>
        </is>
      </c>
      <c r="N23" s="10" t="inlineStr"/>
      <c r="O23" s="10" t="inlineStr"/>
    </row>
    <row r="24">
      <c r="A24" s="10" t="inlineStr">
        <is>
          <t>RW-260706-110912</t>
        </is>
      </c>
      <c r="B24" s="10" t="n">
        <v>223498</v>
      </c>
      <c r="C24" s="10" t="inlineStr">
        <is>
          <t>No</t>
        </is>
      </c>
      <c r="D24" s="10" t="inlineStr">
        <is>
          <t>250</t>
        </is>
      </c>
      <c r="E24" s="10" t="inlineStr">
        <is>
          <t>Option 1</t>
        </is>
      </c>
      <c r="F24" s="10" t="n">
        <v>991.12</v>
      </c>
      <c r="G24" s="10" t="n">
        <v>818.97</v>
      </c>
      <c r="H24" s="10" t="n">
        <v>172.15</v>
      </c>
      <c r="I24" s="10" t="n">
        <v>21</v>
      </c>
      <c r="J24" s="10" t="n">
        <v>564.54</v>
      </c>
      <c r="K24" s="10" t="n">
        <v>521.01</v>
      </c>
      <c r="L24" s="10" t="n">
        <v>8.4</v>
      </c>
      <c r="M24" s="11" t="inlineStr">
        <is>
          <t>FAIL</t>
        </is>
      </c>
      <c r="N24" s="10" t="inlineStr"/>
      <c r="O24" s="10" t="inlineStr"/>
    </row>
    <row r="25">
      <c r="A25" s="10" t="inlineStr">
        <is>
          <t>RW-260721-102108</t>
        </is>
      </c>
      <c r="B25" s="10" t="n">
        <v>223785</v>
      </c>
      <c r="C25" s="10" t="inlineStr">
        <is>
          <t>No</t>
        </is>
      </c>
      <c r="D25" s="10" t="inlineStr">
        <is>
          <t>500</t>
        </is>
      </c>
      <c r="E25" s="10" t="inlineStr">
        <is>
          <t>Kraft/Kraft - with white</t>
        </is>
      </c>
      <c r="F25" s="10" t="n">
        <v>1183.59</v>
      </c>
      <c r="G25" s="10" t="n">
        <v>1003.06</v>
      </c>
      <c r="H25" s="10" t="n">
        <v>180.53</v>
      </c>
      <c r="I25" s="10" t="n">
        <v>18</v>
      </c>
      <c r="J25" s="10" t="n">
        <v>601.79</v>
      </c>
      <c r="K25" s="10" t="n">
        <v>734.49</v>
      </c>
      <c r="L25" s="10" t="n">
        <v>-18.1</v>
      </c>
      <c r="M25" s="12" t="inlineStr">
        <is>
          <t>REVIEW</t>
        </is>
      </c>
      <c r="N25" s="10" t="inlineStr"/>
      <c r="O25" s="10" t="inlineStr"/>
    </row>
    <row r="26">
      <c r="A26" s="10" t="inlineStr">
        <is>
          <t>RW-260720-134257</t>
        </is>
      </c>
      <c r="B26" s="10" t="n">
        <v>223689</v>
      </c>
      <c r="C26" s="10" t="inlineStr">
        <is>
          <t>No</t>
        </is>
      </c>
      <c r="D26" s="10" t="inlineStr">
        <is>
          <t>700</t>
        </is>
      </c>
      <c r="E26" s="10" t="inlineStr">
        <is>
          <t>Die Cut</t>
        </is>
      </c>
      <c r="F26" s="10" t="n">
        <v>5753.95</v>
      </c>
      <c r="G26" s="10" t="n">
        <v>4904.67</v>
      </c>
      <c r="H26" s="10" t="n">
        <v>849.28</v>
      </c>
      <c r="I26" s="10" t="n">
        <v>17.3</v>
      </c>
      <c r="J26" s="10" t="n">
        <v>4212.3</v>
      </c>
      <c r="K26" s="10" t="n">
        <v>2961.04</v>
      </c>
      <c r="L26" s="10" t="n">
        <v>42.3</v>
      </c>
      <c r="M26" s="12" t="inlineStr">
        <is>
          <t>REVIEW</t>
        </is>
      </c>
      <c r="N26" s="10" t="inlineStr"/>
      <c r="O26" s="10" t="inlineStr"/>
    </row>
    <row r="27">
      <c r="A27" s="10" t="inlineStr">
        <is>
          <t>RW-260720-093753</t>
        </is>
      </c>
      <c r="B27" s="10" t="n">
        <v>221299</v>
      </c>
      <c r="C27" s="10" t="inlineStr">
        <is>
          <t>No</t>
        </is>
      </c>
      <c r="D27" s="10" t="inlineStr">
        <is>
          <t>30/300 kit</t>
        </is>
      </c>
      <c r="E27" s="10" t="inlineStr">
        <is>
          <t>Option 1 - Original</t>
        </is>
      </c>
      <c r="F27" s="10" t="n">
        <v>3006.89</v>
      </c>
      <c r="G27" s="10" t="n">
        <v>2570.16</v>
      </c>
      <c r="H27" s="10" t="n">
        <v>436.73</v>
      </c>
      <c r="I27" s="10" t="n">
        <v>17</v>
      </c>
      <c r="J27" s="10" t="n">
        <v>1742.99</v>
      </c>
      <c r="K27" s="10" t="n">
        <v>1506.97</v>
      </c>
      <c r="L27" s="10" t="n">
        <v>15.7</v>
      </c>
      <c r="M27" s="12" t="inlineStr">
        <is>
          <t>REVIEW</t>
        </is>
      </c>
      <c r="N27" s="10" t="inlineStr"/>
      <c r="O27" s="10" t="inlineStr"/>
    </row>
    <row r="28">
      <c r="A28" s="10" t="inlineStr">
        <is>
          <t>RW-260720-083107</t>
        </is>
      </c>
      <c r="B28" s="10" t="n">
        <v>223752</v>
      </c>
      <c r="C28" s="10" t="inlineStr">
        <is>
          <t>No</t>
        </is>
      </c>
      <c r="D28" s="10" t="inlineStr">
        <is>
          <t>600</t>
        </is>
      </c>
      <c r="E28" s="10" t="inlineStr">
        <is>
          <t>Option 1</t>
        </is>
      </c>
      <c r="F28" s="10" t="n">
        <v>3418.16</v>
      </c>
      <c r="G28" s="10" t="n">
        <v>2931.56</v>
      </c>
      <c r="H28" s="10" t="n">
        <v>486.6</v>
      </c>
      <c r="I28" s="10" t="n">
        <v>16.6</v>
      </c>
      <c r="J28" s="10" t="n">
        <v>1990.35</v>
      </c>
      <c r="K28" s="10" t="n">
        <v>1927.75</v>
      </c>
      <c r="L28" s="10" t="n">
        <v>3.2</v>
      </c>
      <c r="M28" s="12" t="inlineStr">
        <is>
          <t>REVIEW</t>
        </is>
      </c>
      <c r="N28" s="10" t="inlineStr"/>
      <c r="O28" s="10" t="inlineStr"/>
    </row>
    <row r="29">
      <c r="A29" s="10" t="inlineStr">
        <is>
          <t>RW-260709-132147</t>
        </is>
      </c>
      <c r="B29" s="10" t="n">
        <v>221998</v>
      </c>
      <c r="C29" s="10" t="inlineStr">
        <is>
          <t>No</t>
        </is>
      </c>
      <c r="D29" s="10" t="inlineStr">
        <is>
          <t>525 kit</t>
        </is>
      </c>
      <c r="E29" s="10" t="inlineStr">
        <is>
          <t>D/C w/riser minus Riser</t>
        </is>
      </c>
      <c r="F29" s="10" t="n">
        <v>34381.73</v>
      </c>
      <c r="G29" s="10" t="n">
        <v>40873.15</v>
      </c>
      <c r="H29" s="10" t="n">
        <v>-6491.42</v>
      </c>
      <c r="I29" s="10" t="n">
        <v>-15.9</v>
      </c>
      <c r="J29" s="10" t="n">
        <v>25072.74</v>
      </c>
      <c r="K29" s="10" t="n">
        <v>23504.34</v>
      </c>
      <c r="L29" s="10" t="n">
        <v>6.7</v>
      </c>
      <c r="M29" s="12" t="inlineStr">
        <is>
          <t>REVIEW</t>
        </is>
      </c>
      <c r="N29" s="10" t="inlineStr"/>
      <c r="O29" s="10" t="inlineStr">
        <is>
          <t>Riser excluded (not in SPOT est)</t>
        </is>
      </c>
    </row>
    <row r="30">
      <c r="A30" s="10" t="inlineStr">
        <is>
          <t>RW-260721-135500</t>
        </is>
      </c>
      <c r="B30" s="10" t="n">
        <v>223597</v>
      </c>
      <c r="C30" s="10" t="inlineStr">
        <is>
          <t>Yes</t>
        </is>
      </c>
      <c r="D30" s="10" t="inlineStr">
        <is>
          <t>250</t>
        </is>
      </c>
      <c r="E30" s="10" t="inlineStr">
        <is>
          <t>Option 1</t>
        </is>
      </c>
      <c r="F30" s="10" t="n">
        <v>3176.43</v>
      </c>
      <c r="G30" s="10" t="n">
        <v>2749.42</v>
      </c>
      <c r="H30" s="10" t="n">
        <v>427.01</v>
      </c>
      <c r="I30" s="10" t="n">
        <v>15.5</v>
      </c>
      <c r="J30" s="10" t="n">
        <v>2156.38</v>
      </c>
      <c r="K30" s="10" t="n">
        <v>1628.98</v>
      </c>
      <c r="L30" s="10" t="n">
        <v>32.4</v>
      </c>
      <c r="M30" s="12" t="inlineStr">
        <is>
          <t>REVIEW</t>
        </is>
      </c>
      <c r="N30" s="10" t="inlineStr"/>
      <c r="O30" s="10" t="inlineStr"/>
    </row>
    <row r="31">
      <c r="A31" s="10" t="inlineStr">
        <is>
          <t>RW-260720-132349</t>
        </is>
      </c>
      <c r="B31" s="10" t="n">
        <v>223702</v>
      </c>
      <c r="C31" s="10" t="inlineStr">
        <is>
          <t>No</t>
        </is>
      </c>
      <c r="D31" s="10" t="inlineStr">
        <is>
          <t>250</t>
        </is>
      </c>
      <c r="E31" s="10" t="inlineStr">
        <is>
          <t>Die</t>
        </is>
      </c>
      <c r="F31" s="10" t="n">
        <v>7744.83</v>
      </c>
      <c r="G31" s="10" t="n">
        <v>9166.92</v>
      </c>
      <c r="H31" s="10" t="n">
        <v>-1422.09</v>
      </c>
      <c r="I31" s="10" t="n">
        <v>-15.5</v>
      </c>
      <c r="J31" s="10" t="n">
        <v>5497.44</v>
      </c>
      <c r="K31" s="10" t="n">
        <v>4564.74</v>
      </c>
      <c r="L31" s="10" t="n">
        <v>20.4</v>
      </c>
      <c r="M31" s="12" t="inlineStr">
        <is>
          <t>REVIEW</t>
        </is>
      </c>
      <c r="N31" s="10" t="inlineStr"/>
      <c r="O31" s="10" t="inlineStr"/>
    </row>
    <row r="32">
      <c r="A32" s="10" t="inlineStr">
        <is>
          <t>RW-260720-133223</t>
        </is>
      </c>
      <c r="B32" s="10" t="n">
        <v>223701</v>
      </c>
      <c r="C32" s="10" t="inlineStr">
        <is>
          <t>No</t>
        </is>
      </c>
      <c r="D32" s="10" t="inlineStr">
        <is>
          <t>200</t>
        </is>
      </c>
      <c r="E32" s="10" t="inlineStr">
        <is>
          <t>Option 1</t>
        </is>
      </c>
      <c r="F32" s="10" t="n">
        <v>4996.39</v>
      </c>
      <c r="G32" s="10" t="n">
        <v>5894.43</v>
      </c>
      <c r="H32" s="10" t="n">
        <v>-898.04</v>
      </c>
      <c r="I32" s="10" t="n">
        <v>-15.2</v>
      </c>
      <c r="J32" s="10" t="n">
        <v>3138.43</v>
      </c>
      <c r="K32" s="10" t="n">
        <v>3174.49</v>
      </c>
      <c r="L32" s="10" t="n">
        <v>-1.1</v>
      </c>
      <c r="M32" s="12" t="inlineStr">
        <is>
          <t>REVIEW</t>
        </is>
      </c>
      <c r="N32" s="10" t="inlineStr"/>
      <c r="O32" s="10" t="inlineStr"/>
    </row>
    <row r="33">
      <c r="A33" s="10" t="inlineStr">
        <is>
          <t>RW-260720-133223</t>
        </is>
      </c>
      <c r="B33" s="10" t="n">
        <v>223701</v>
      </c>
      <c r="C33" s="10" t="inlineStr">
        <is>
          <t>No</t>
        </is>
      </c>
      <c r="D33" s="10" t="inlineStr">
        <is>
          <t>50</t>
        </is>
      </c>
      <c r="E33" s="10" t="inlineStr">
        <is>
          <t>Option 1</t>
        </is>
      </c>
      <c r="F33" s="10" t="n">
        <v>2449.07</v>
      </c>
      <c r="G33" s="10" t="n">
        <v>2142.17</v>
      </c>
      <c r="H33" s="10" t="n">
        <v>306.9</v>
      </c>
      <c r="I33" s="10" t="n">
        <v>14.3</v>
      </c>
      <c r="J33" s="10" t="n">
        <v>1086.57</v>
      </c>
      <c r="K33" s="10" t="n">
        <v>1134.3</v>
      </c>
      <c r="L33" s="10" t="n">
        <v>-4.2</v>
      </c>
      <c r="M33" s="12" t="inlineStr">
        <is>
          <t>REVIEW</t>
        </is>
      </c>
      <c r="N33" s="10" t="inlineStr"/>
      <c r="O33" s="10" t="inlineStr"/>
    </row>
    <row r="34">
      <c r="A34" s="10" t="inlineStr">
        <is>
          <t>RW-260629-134103</t>
        </is>
      </c>
      <c r="B34" s="10" t="n">
        <v>223376</v>
      </c>
      <c r="C34" s="10" t="inlineStr">
        <is>
          <t>Yes</t>
        </is>
      </c>
      <c r="D34" s="10" t="inlineStr">
        <is>
          <t>75/150 kit</t>
        </is>
      </c>
      <c r="E34" s="10" t="inlineStr">
        <is>
          <t>Option 1</t>
        </is>
      </c>
      <c r="F34" s="10" t="n">
        <v>3515.4</v>
      </c>
      <c r="G34" s="10" t="n">
        <v>3134.12</v>
      </c>
      <c r="H34" s="10" t="n">
        <v>381.28</v>
      </c>
      <c r="I34" s="10" t="n">
        <v>12.2</v>
      </c>
      <c r="J34" s="10" t="n">
        <v>2207.38</v>
      </c>
      <c r="K34" s="10" t="n">
        <v>1948.51</v>
      </c>
      <c r="L34" s="10" t="n">
        <v>13.3</v>
      </c>
      <c r="M34" s="12" t="inlineStr">
        <is>
          <t>REVIEW</t>
        </is>
      </c>
      <c r="N34" s="10" t="inlineStr"/>
      <c r="O34" s="10" t="inlineStr"/>
    </row>
    <row r="35">
      <c r="A35" s="10" t="inlineStr">
        <is>
          <t>RW-260730-155412</t>
        </is>
      </c>
      <c r="B35" s="10" t="n">
        <v>223597</v>
      </c>
      <c r="C35" s="10" t="inlineStr">
        <is>
          <t>Yes</t>
        </is>
      </c>
      <c r="D35" s="10" t="inlineStr">
        <is>
          <t>250</t>
        </is>
      </c>
      <c r="E35" s="10" t="inlineStr">
        <is>
          <t>Option 1</t>
        </is>
      </c>
      <c r="F35" s="10" t="n">
        <v>3071.43</v>
      </c>
      <c r="G35" s="10" t="n">
        <v>2749.42</v>
      </c>
      <c r="H35" s="10" t="n">
        <v>322.01</v>
      </c>
      <c r="I35" s="10" t="n">
        <v>11.7</v>
      </c>
      <c r="J35" s="10" t="n">
        <v>2084.98</v>
      </c>
      <c r="K35" s="10" t="n">
        <v>1628.98</v>
      </c>
      <c r="L35" s="10" t="n">
        <v>28</v>
      </c>
      <c r="M35" s="12" t="inlineStr">
        <is>
          <t>REVIEW</t>
        </is>
      </c>
      <c r="N35" s="10" t="inlineStr"/>
      <c r="O35" s="10" t="inlineStr"/>
    </row>
    <row r="36">
      <c r="A36" s="10" t="inlineStr">
        <is>
          <t>RW-260727-090826</t>
        </is>
      </c>
      <c r="B36" s="10" t="n">
        <v>223590</v>
      </c>
      <c r="C36" s="10" t="inlineStr">
        <is>
          <t>Yes</t>
        </is>
      </c>
      <c r="D36" s="10" t="inlineStr">
        <is>
          <t>100</t>
        </is>
      </c>
      <c r="E36" s="10" t="inlineStr">
        <is>
          <t>Option 1</t>
        </is>
      </c>
      <c r="F36" s="10" t="n">
        <v>1361.8</v>
      </c>
      <c r="G36" s="10" t="n">
        <v>1230.77</v>
      </c>
      <c r="H36" s="10" t="n">
        <v>131.03</v>
      </c>
      <c r="I36" s="10" t="n">
        <v>10.6</v>
      </c>
      <c r="J36" s="10" t="n">
        <v>826.4400000000001</v>
      </c>
      <c r="K36" s="10" t="n">
        <v>828.29</v>
      </c>
      <c r="L36" s="10" t="n">
        <v>-0.2</v>
      </c>
      <c r="M36" s="12" t="inlineStr">
        <is>
          <t>REVIEW</t>
        </is>
      </c>
      <c r="N36" s="10" t="inlineStr"/>
      <c r="O36" s="10" t="inlineStr"/>
    </row>
    <row r="37">
      <c r="A37" s="10" t="inlineStr">
        <is>
          <t>RW-260722-085112</t>
        </is>
      </c>
      <c r="B37" s="10" t="n">
        <v>223596</v>
      </c>
      <c r="C37" s="10" t="inlineStr">
        <is>
          <t>Yes</t>
        </is>
      </c>
      <c r="D37" s="10" t="inlineStr">
        <is>
          <t>700/1000 kit</t>
        </is>
      </c>
      <c r="E37" s="10" t="inlineStr">
        <is>
          <t>DieCut</t>
        </is>
      </c>
      <c r="F37" s="10" t="n">
        <v>8481.110000000001</v>
      </c>
      <c r="G37" s="10" t="n">
        <v>9299.35</v>
      </c>
      <c r="H37" s="10" t="n">
        <v>-818.24</v>
      </c>
      <c r="I37" s="10" t="n">
        <v>-8.800000000000001</v>
      </c>
      <c r="J37" s="10" t="n">
        <v>5913.14</v>
      </c>
      <c r="K37" s="10" t="n">
        <v>6826.12</v>
      </c>
      <c r="L37" s="10" t="n">
        <v>-13.4</v>
      </c>
      <c r="M37" s="13" t="inlineStr">
        <is>
          <t>PASS</t>
        </is>
      </c>
      <c r="N37" s="10" t="inlineStr"/>
      <c r="O37" s="10" t="inlineStr"/>
    </row>
    <row r="38">
      <c r="A38" s="10" t="inlineStr">
        <is>
          <t>RW-260629-131349</t>
        </is>
      </c>
      <c r="B38" s="10" t="n">
        <v>223408</v>
      </c>
      <c r="C38" s="10" t="inlineStr">
        <is>
          <t>No</t>
        </is>
      </c>
      <c r="D38" s="10" t="inlineStr">
        <is>
          <t>525</t>
        </is>
      </c>
      <c r="E38" s="10" t="inlineStr">
        <is>
          <t>Option 1</t>
        </is>
      </c>
      <c r="F38" s="10" t="n">
        <v>2634.69</v>
      </c>
      <c r="G38" s="10" t="n">
        <v>2452.48</v>
      </c>
      <c r="H38" s="10" t="n">
        <v>182.21</v>
      </c>
      <c r="I38" s="10" t="n">
        <v>7.4</v>
      </c>
      <c r="J38" s="10" t="n">
        <v>1695.06</v>
      </c>
      <c r="K38" s="10" t="n">
        <v>1584.62</v>
      </c>
      <c r="L38" s="10" t="n">
        <v>7</v>
      </c>
      <c r="M38" s="13" t="inlineStr">
        <is>
          <t>PASS</t>
        </is>
      </c>
      <c r="N38" s="10" t="inlineStr"/>
      <c r="O38" s="10" t="inlineStr"/>
    </row>
    <row r="39">
      <c r="A39" s="10" t="inlineStr">
        <is>
          <t>RW-260722-082345</t>
        </is>
      </c>
      <c r="B39" s="10" t="n">
        <v>223591</v>
      </c>
      <c r="C39" s="10" t="inlineStr">
        <is>
          <t>Yes</t>
        </is>
      </c>
      <c r="D39" s="10" t="inlineStr">
        <is>
          <t>300</t>
        </is>
      </c>
      <c r="E39" s="10" t="inlineStr">
        <is>
          <t>Die Cut - for production purposes</t>
        </is>
      </c>
      <c r="F39" s="10" t="n">
        <v>8044.68</v>
      </c>
      <c r="G39" s="10" t="n">
        <v>7577.35</v>
      </c>
      <c r="H39" s="10" t="n">
        <v>467.33</v>
      </c>
      <c r="I39" s="10" t="n">
        <v>6.2</v>
      </c>
      <c r="J39" s="10" t="n">
        <v>6013.51</v>
      </c>
      <c r="K39" s="10" t="n">
        <v>4470.38</v>
      </c>
      <c r="L39" s="10" t="n">
        <v>34.5</v>
      </c>
      <c r="M39" s="13" t="inlineStr">
        <is>
          <t>PASS</t>
        </is>
      </c>
      <c r="N39" s="10" t="inlineStr"/>
      <c r="O39" s="10" t="inlineStr"/>
    </row>
    <row r="40">
      <c r="A40" s="10" t="inlineStr">
        <is>
          <t>RW-260720-132349</t>
        </is>
      </c>
      <c r="B40" s="10" t="n">
        <v>223702</v>
      </c>
      <c r="C40" s="10" t="inlineStr">
        <is>
          <t>No</t>
        </is>
      </c>
      <c r="D40" s="10" t="inlineStr">
        <is>
          <t>500</t>
        </is>
      </c>
      <c r="E40" s="10" t="inlineStr">
        <is>
          <t>Die</t>
        </is>
      </c>
      <c r="F40" s="10" t="n">
        <v>14000.47</v>
      </c>
      <c r="G40" s="10" t="n">
        <v>14908.08</v>
      </c>
      <c r="H40" s="10" t="n">
        <v>-907.61</v>
      </c>
      <c r="I40" s="10" t="n">
        <v>-6.1</v>
      </c>
      <c r="J40" s="10" t="n">
        <v>10337.84</v>
      </c>
      <c r="K40" s="10" t="n">
        <v>8421.299999999999</v>
      </c>
      <c r="L40" s="10" t="n">
        <v>22.8</v>
      </c>
      <c r="M40" s="13" t="inlineStr">
        <is>
          <t>PASS</t>
        </is>
      </c>
      <c r="N40" s="10" t="inlineStr"/>
      <c r="O40" s="10" t="inlineStr"/>
    </row>
    <row r="41">
      <c r="A41" s="10" t="inlineStr">
        <is>
          <t>RW-260706-094426</t>
        </is>
      </c>
      <c r="B41" s="10" t="n">
        <v>223488</v>
      </c>
      <c r="C41" s="10" t="inlineStr">
        <is>
          <t>No</t>
        </is>
      </c>
      <c r="D41" s="10" t="inlineStr">
        <is>
          <t>300</t>
        </is>
      </c>
      <c r="E41" s="10" t="inlineStr">
        <is>
          <t>CAD 2-Sides (mailer only)</t>
        </is>
      </c>
      <c r="F41" s="10" t="n">
        <v>1915.76</v>
      </c>
      <c r="G41" s="10" t="n">
        <v>2031.1</v>
      </c>
      <c r="H41" s="10" t="n">
        <v>-115.34</v>
      </c>
      <c r="I41" s="10" t="n">
        <v>-5.7</v>
      </c>
      <c r="J41" s="10" t="n">
        <v>1571.69</v>
      </c>
      <c r="K41" s="10" t="n">
        <v>1298.5</v>
      </c>
      <c r="L41" s="10" t="n">
        <v>21</v>
      </c>
      <c r="M41" s="13" t="inlineStr">
        <is>
          <t>PASS</t>
        </is>
      </c>
      <c r="N41" s="10" t="inlineStr"/>
      <c r="O41" s="10" t="inlineStr">
        <is>
          <t>per-component</t>
        </is>
      </c>
    </row>
    <row r="42">
      <c r="A42" s="10" t="inlineStr">
        <is>
          <t>RW-260727-101129</t>
        </is>
      </c>
      <c r="B42" s="10" t="n">
        <v>223454</v>
      </c>
      <c r="C42" s="10" t="inlineStr">
        <is>
          <t>Yes</t>
        </is>
      </c>
      <c r="D42" s="10" t="inlineStr">
        <is>
          <t>220</t>
        </is>
      </c>
      <c r="E42" s="10" t="inlineStr">
        <is>
          <t>Option 1 - D/C</t>
        </is>
      </c>
      <c r="F42" s="10" t="n">
        <v>5824.4</v>
      </c>
      <c r="G42" s="10" t="n">
        <v>6164.32</v>
      </c>
      <c r="H42" s="10" t="n">
        <v>-339.92</v>
      </c>
      <c r="I42" s="10" t="n">
        <v>-5.5</v>
      </c>
      <c r="J42" s="10" t="n">
        <v>4348.3</v>
      </c>
      <c r="K42" s="10" t="n">
        <v>3206.43</v>
      </c>
      <c r="L42" s="10" t="n">
        <v>35.6</v>
      </c>
      <c r="M42" s="13" t="inlineStr">
        <is>
          <t>PASS</t>
        </is>
      </c>
      <c r="N42" s="10" t="inlineStr"/>
      <c r="O42" s="10" t="inlineStr"/>
    </row>
    <row r="43">
      <c r="A43" s="10" t="inlineStr">
        <is>
          <t>RW-260623-091031</t>
        </is>
      </c>
      <c r="B43" s="10" t="n">
        <v>223207</v>
      </c>
      <c r="C43" s="10" t="inlineStr">
        <is>
          <t>Yes</t>
        </is>
      </c>
      <c r="D43" s="10" t="inlineStr">
        <is>
          <t>210</t>
        </is>
      </c>
      <c r="E43" s="10" t="inlineStr">
        <is>
          <t>CAD Cut - FRO over 12 hours cutting</t>
        </is>
      </c>
      <c r="F43" s="10" t="n">
        <v>1752.51</v>
      </c>
      <c r="G43" s="10" t="n">
        <v>1826.19</v>
      </c>
      <c r="H43" s="10" t="n">
        <v>-73.68000000000001</v>
      </c>
      <c r="I43" s="10" t="n">
        <v>-4</v>
      </c>
      <c r="J43" s="10" t="n">
        <v>1072.58</v>
      </c>
      <c r="K43" s="10" t="n">
        <v>1476.62</v>
      </c>
      <c r="L43" s="10" t="n">
        <v>-27.4</v>
      </c>
      <c r="M43" s="13" t="inlineStr">
        <is>
          <t>PASS</t>
        </is>
      </c>
      <c r="N43" s="10" t="inlineStr"/>
      <c r="O43" s="10" t="inlineStr"/>
    </row>
    <row r="44">
      <c r="A44" s="10" t="inlineStr">
        <is>
          <t>RW-260720-133223</t>
        </is>
      </c>
      <c r="B44" s="10" t="n">
        <v>223701</v>
      </c>
      <c r="C44" s="10" t="inlineStr">
        <is>
          <t>No</t>
        </is>
      </c>
      <c r="D44" s="10" t="inlineStr">
        <is>
          <t>100</t>
        </is>
      </c>
      <c r="E44" s="10" t="inlineStr">
        <is>
          <t>Option 1</t>
        </is>
      </c>
      <c r="F44" s="10" t="n">
        <v>3337.89</v>
      </c>
      <c r="G44" s="10" t="n">
        <v>3463.91</v>
      </c>
      <c r="H44" s="10" t="n">
        <v>-126.02</v>
      </c>
      <c r="I44" s="10" t="n">
        <v>-3.6</v>
      </c>
      <c r="J44" s="10" t="n">
        <v>1772.52</v>
      </c>
      <c r="K44" s="10" t="n">
        <v>1818.44</v>
      </c>
      <c r="L44" s="10" t="n">
        <v>-2.5</v>
      </c>
      <c r="M44" s="13" t="inlineStr">
        <is>
          <t>PASS</t>
        </is>
      </c>
      <c r="N44" s="10" t="inlineStr"/>
      <c r="O44" s="10" t="inlineStr"/>
    </row>
    <row r="45">
      <c r="A45" s="10" t="inlineStr">
        <is>
          <t>RW-260722-082345</t>
        </is>
      </c>
      <c r="B45" s="10" t="n">
        <v>223591</v>
      </c>
      <c r="C45" s="10" t="inlineStr">
        <is>
          <t>Yes</t>
        </is>
      </c>
      <c r="D45" s="10" t="inlineStr">
        <is>
          <t>250</t>
        </is>
      </c>
      <c r="E45" s="10" t="inlineStr">
        <is>
          <t>Die Cut - for production purposes</t>
        </is>
      </c>
      <c r="F45" s="10" t="n">
        <v>6773.57</v>
      </c>
      <c r="G45" s="10" t="n">
        <v>6549.08</v>
      </c>
      <c r="H45" s="10" t="n">
        <v>224.49</v>
      </c>
      <c r="I45" s="10" t="n">
        <v>3.4</v>
      </c>
      <c r="J45" s="10" t="n">
        <v>5060.17</v>
      </c>
      <c r="K45" s="10" t="n">
        <v>3788.33</v>
      </c>
      <c r="L45" s="10" t="n">
        <v>33.6</v>
      </c>
      <c r="M45" s="13" t="inlineStr">
        <is>
          <t>PASS</t>
        </is>
      </c>
      <c r="N45" s="10" t="inlineStr"/>
      <c r="O45" s="10" t="inlineStr"/>
    </row>
    <row r="46">
      <c r="A46" s="10" t="inlineStr">
        <is>
          <t>RW-260706-110912</t>
        </is>
      </c>
      <c r="B46" s="10" t="n">
        <v>223498</v>
      </c>
      <c r="C46" s="10" t="inlineStr">
        <is>
          <t>No</t>
        </is>
      </c>
      <c r="D46" s="10" t="inlineStr">
        <is>
          <t>750</t>
        </is>
      </c>
      <c r="E46" s="10" t="inlineStr">
        <is>
          <t>Option 1</t>
        </is>
      </c>
      <c r="F46" s="10" t="n">
        <v>1565.74</v>
      </c>
      <c r="G46" s="10" t="n">
        <v>1517.07</v>
      </c>
      <c r="H46" s="10" t="n">
        <v>48.67</v>
      </c>
      <c r="I46" s="10" t="n">
        <v>3.2</v>
      </c>
      <c r="J46" s="10" t="n">
        <v>1024.46</v>
      </c>
      <c r="K46" s="10" t="n">
        <v>1003.09</v>
      </c>
      <c r="L46" s="10" t="n">
        <v>2.1</v>
      </c>
      <c r="M46" s="13" t="inlineStr">
        <is>
          <t>PASS</t>
        </is>
      </c>
      <c r="N46" s="10" t="inlineStr"/>
      <c r="O46" s="10" t="inlineStr"/>
    </row>
    <row r="47">
      <c r="A47" s="10" t="inlineStr">
        <is>
          <t>RW-260727-095102</t>
        </is>
      </c>
      <c r="B47" s="10" t="n">
        <v>223486</v>
      </c>
      <c r="C47" s="10" t="inlineStr">
        <is>
          <t>Yes</t>
        </is>
      </c>
      <c r="D47" s="10" t="inlineStr">
        <is>
          <t>50</t>
        </is>
      </c>
      <c r="E47" s="10" t="inlineStr">
        <is>
          <t>Option 1</t>
        </is>
      </c>
      <c r="F47" s="10" t="n">
        <v>255.63</v>
      </c>
      <c r="G47" s="10" t="n">
        <v>248.28</v>
      </c>
      <c r="H47" s="10" t="n">
        <v>7.35</v>
      </c>
      <c r="I47" s="10" t="n">
        <v>3</v>
      </c>
      <c r="J47" s="10" t="n">
        <v>127.81</v>
      </c>
      <c r="K47" s="10" t="n">
        <v>199.16</v>
      </c>
      <c r="L47" s="10" t="n">
        <v>-35.8</v>
      </c>
      <c r="M47" s="13" t="inlineStr">
        <is>
          <t>PASS</t>
        </is>
      </c>
      <c r="N47" s="10" t="inlineStr"/>
      <c r="O47" s="10" t="inlineStr"/>
    </row>
    <row r="48">
      <c r="A48" s="10" t="inlineStr">
        <is>
          <t>RW-260727-093930</t>
        </is>
      </c>
      <c r="B48" s="10" t="n">
        <v>223538</v>
      </c>
      <c r="C48" s="10" t="inlineStr">
        <is>
          <t>Yes</t>
        </is>
      </c>
      <c r="D48" s="10" t="inlineStr">
        <is>
          <t>350</t>
        </is>
      </c>
      <c r="E48" s="10" t="inlineStr">
        <is>
          <t>CAD Cut ALL</t>
        </is>
      </c>
      <c r="F48" s="10" t="n">
        <v>6591.82</v>
      </c>
      <c r="G48" s="10" t="n">
        <v>6766.74</v>
      </c>
      <c r="H48" s="10" t="n">
        <v>-174.92</v>
      </c>
      <c r="I48" s="10" t="n">
        <v>-2.6</v>
      </c>
      <c r="J48" s="10" t="n">
        <v>4411.55</v>
      </c>
      <c r="K48" s="10" t="n">
        <v>4732.01</v>
      </c>
      <c r="L48" s="10" t="n">
        <v>-6.8</v>
      </c>
      <c r="M48" s="13" t="inlineStr">
        <is>
          <t>PASS</t>
        </is>
      </c>
      <c r="N48" s="10" t="inlineStr"/>
      <c r="O48" s="10" t="inlineStr"/>
    </row>
    <row r="49">
      <c r="A49" s="10" t="inlineStr">
        <is>
          <t>RW-260629-133153</t>
        </is>
      </c>
      <c r="B49" s="10" t="n">
        <v>223378</v>
      </c>
      <c r="C49" s="10" t="inlineStr">
        <is>
          <t>No</t>
        </is>
      </c>
      <c r="D49" s="10" t="inlineStr">
        <is>
          <t>250 sets</t>
        </is>
      </c>
      <c r="E49" s="10" t="inlineStr">
        <is>
          <t>CadCut (kit)</t>
        </is>
      </c>
      <c r="F49" s="10" t="n">
        <v>9144.15</v>
      </c>
      <c r="G49" s="10" t="n">
        <v>9322.530000000001</v>
      </c>
      <c r="H49" s="10" t="n">
        <v>-178.38</v>
      </c>
      <c r="I49" s="10" t="n">
        <v>-1.9</v>
      </c>
      <c r="J49" s="10" t="n">
        <v>6642.87</v>
      </c>
      <c r="K49" s="10" t="n">
        <v>5983</v>
      </c>
      <c r="L49" s="10" t="n">
        <v>11</v>
      </c>
      <c r="M49" s="13" t="inlineStr">
        <is>
          <t>PASS</t>
        </is>
      </c>
      <c r="N49" s="10" t="inlineStr"/>
      <c r="O49" s="10" t="inlineStr">
        <is>
          <t>SPOT side panel qty 500 = 250 sets of 2</t>
        </is>
      </c>
    </row>
    <row r="50">
      <c r="A50" s="10" t="inlineStr">
        <is>
          <t>RW-260724-113737</t>
        </is>
      </c>
      <c r="B50" s="10" t="n">
        <v>223651</v>
      </c>
      <c r="C50" s="10" t="inlineStr">
        <is>
          <t>Yes</t>
        </is>
      </c>
      <c r="D50" s="10" t="inlineStr">
        <is>
          <t>22</t>
        </is>
      </c>
      <c r="E50" s="10" t="inlineStr">
        <is>
          <t>Option 1</t>
        </is>
      </c>
      <c r="F50" s="10" t="n">
        <v>132.39</v>
      </c>
      <c r="G50" s="10" t="n">
        <v>130.54</v>
      </c>
      <c r="H50" s="10" t="n">
        <v>1.85</v>
      </c>
      <c r="I50" s="10" t="n">
        <v>1.4</v>
      </c>
      <c r="J50" s="10" t="n">
        <v>66.2</v>
      </c>
      <c r="K50" s="10" t="n">
        <v>78.34999999999999</v>
      </c>
      <c r="L50" s="10" t="n">
        <v>-15.5</v>
      </c>
      <c r="M50" s="13" t="inlineStr">
        <is>
          <t>PASS</t>
        </is>
      </c>
      <c r="N50" s="10" t="inlineStr"/>
      <c r="O50" s="10" t="inlineStr"/>
    </row>
    <row r="52">
      <c r="A52" s="14" t="inlineStr">
        <is>
          <t>Direct cost = Material+Print+Cutting+Strip+Glue+Freight categories summed identically on both sides. iQuote TotalActualCost is not used (contains uncategorized cost with no SPOT counterpart).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8" customWidth="1" min="9" max="9"/>
    <col width="12" customWidth="1" min="10" max="10"/>
    <col width="13" customWidth="1" min="11" max="11"/>
    <col width="9" customWidth="1" min="12" max="12"/>
    <col width="9" customWidth="1" min="13" max="13"/>
    <col width="8" customWidth="1" min="14" max="14"/>
    <col width="50" customWidth="1" min="15" max="15"/>
  </cols>
  <sheetData>
    <row r="1">
      <c r="A1" s="6" t="inlineStr">
        <is>
          <t>SPOT Estimate #</t>
        </is>
      </c>
      <c r="B1" s="6" t="inlineStr">
        <is>
          <t>iQuote #</t>
        </is>
      </c>
      <c r="C1" s="6" t="inlineStr">
        <is>
          <t>Became Job</t>
        </is>
      </c>
      <c r="D1" s="6" t="inlineStr">
        <is>
          <t>Qty</t>
        </is>
      </c>
      <c r="E1" s="6" t="inlineStr">
        <is>
          <t>iQuote Option</t>
        </is>
      </c>
      <c r="F1" s="6" t="inlineStr">
        <is>
          <t>SPOT Sell $</t>
        </is>
      </c>
      <c r="G1" s="6" t="inlineStr">
        <is>
          <t>iQuote Sell $</t>
        </is>
      </c>
      <c r="H1" s="6" t="inlineStr">
        <is>
          <t>Delta $</t>
        </is>
      </c>
      <c r="I1" s="6" t="inlineStr">
        <is>
          <t>Delta %</t>
        </is>
      </c>
      <c r="J1" s="6" t="inlineStr">
        <is>
          <t>SPOT Direct Cost $</t>
        </is>
      </c>
      <c r="K1" s="6" t="inlineStr">
        <is>
          <t>iQuote Direct Cost $</t>
        </is>
      </c>
      <c r="L1" s="6" t="inlineStr">
        <is>
          <t>Cost Delta %</t>
        </is>
      </c>
      <c r="M1" s="6" t="inlineStr">
        <is>
          <t>Verdict</t>
        </is>
      </c>
      <c r="N1" s="6" t="inlineStr">
        <is>
          <t>Outlier</t>
        </is>
      </c>
      <c r="O1" s="6" t="inlineStr">
        <is>
          <t>Note</t>
        </is>
      </c>
    </row>
    <row r="2">
      <c r="A2" s="10" t="inlineStr">
        <is>
          <t>RW-260727-080830</t>
        </is>
      </c>
      <c r="B2" s="10" t="n">
        <v>223209</v>
      </c>
      <c r="C2" s="10" t="inlineStr">
        <is>
          <t>Yes</t>
        </is>
      </c>
      <c r="D2" s="10" t="inlineStr">
        <is>
          <t>1</t>
        </is>
      </c>
      <c r="E2" s="10" t="inlineStr">
        <is>
          <t>Option 1</t>
        </is>
      </c>
      <c r="F2" s="10" t="n">
        <v>453.63</v>
      </c>
      <c r="G2" s="10" t="n">
        <v>241.9</v>
      </c>
      <c r="H2" s="10" t="n">
        <v>211.73</v>
      </c>
      <c r="I2" s="10" t="n">
        <v>87.5</v>
      </c>
      <c r="J2" s="10" t="n">
        <v>249.32</v>
      </c>
      <c r="K2" s="10" t="n">
        <v>182.68</v>
      </c>
      <c r="L2" s="10" t="n">
        <v>36.5</v>
      </c>
      <c r="M2" s="11" t="inlineStr">
        <is>
          <t>FAIL</t>
        </is>
      </c>
      <c r="N2" s="10" t="inlineStr"/>
      <c r="O2" s="10" t="inlineStr"/>
    </row>
    <row r="3">
      <c r="A3" s="10" t="inlineStr">
        <is>
          <t>RW-260724-153643</t>
        </is>
      </c>
      <c r="B3" s="10" t="n">
        <v>223851</v>
      </c>
      <c r="C3" s="10" t="inlineStr">
        <is>
          <t>No</t>
        </is>
      </c>
      <c r="D3" s="10" t="inlineStr">
        <is>
          <t>25</t>
        </is>
      </c>
      <c r="E3" s="10" t="inlineStr">
        <is>
          <t>Option 1</t>
        </is>
      </c>
      <c r="F3" s="10" t="n">
        <v>1905.9</v>
      </c>
      <c r="G3" s="10" t="n">
        <v>1079.65</v>
      </c>
      <c r="H3" s="10" t="n">
        <v>826.25</v>
      </c>
      <c r="I3" s="10" t="n">
        <v>76.5</v>
      </c>
      <c r="J3" s="10" t="n">
        <v>804.87</v>
      </c>
      <c r="K3" s="10" t="n">
        <v>740.4400000000001</v>
      </c>
      <c r="L3" s="10" t="n">
        <v>8.699999999999999</v>
      </c>
      <c r="M3" s="11" t="inlineStr">
        <is>
          <t>FAIL</t>
        </is>
      </c>
      <c r="N3" s="10" t="inlineStr"/>
      <c r="O3" s="10" t="inlineStr"/>
    </row>
    <row r="4">
      <c r="A4" s="10" t="inlineStr">
        <is>
          <t>RW-260717-111921</t>
        </is>
      </c>
      <c r="B4" s="10" t="n">
        <v>223706</v>
      </c>
      <c r="C4" s="10" t="inlineStr">
        <is>
          <t>No</t>
        </is>
      </c>
      <c r="D4" s="10" t="inlineStr">
        <is>
          <t>2/4/8 kit</t>
        </is>
      </c>
      <c r="E4" s="10" t="inlineStr">
        <is>
          <t>Option 1</t>
        </is>
      </c>
      <c r="F4" s="10" t="n">
        <v>2859.44</v>
      </c>
      <c r="G4" s="10" t="n">
        <v>1803.46</v>
      </c>
      <c r="H4" s="10" t="n">
        <v>1055.98</v>
      </c>
      <c r="I4" s="10" t="n">
        <v>58.6</v>
      </c>
      <c r="J4" s="10" t="n">
        <v>1571.83</v>
      </c>
      <c r="K4" s="10" t="n">
        <v>978.9299999999999</v>
      </c>
      <c r="L4" s="10" t="n">
        <v>60.6</v>
      </c>
      <c r="M4" s="11" t="inlineStr">
        <is>
          <t>FAIL</t>
        </is>
      </c>
      <c r="N4" s="10" t="inlineStr"/>
      <c r="O4" s="10" t="inlineStr"/>
    </row>
    <row r="5">
      <c r="A5" s="10" t="inlineStr">
        <is>
          <t>RW-260722-090416</t>
        </is>
      </c>
      <c r="B5" s="10" t="n">
        <v>223590</v>
      </c>
      <c r="C5" s="10" t="inlineStr">
        <is>
          <t>Yes</t>
        </is>
      </c>
      <c r="D5" s="10" t="inlineStr">
        <is>
          <t>50</t>
        </is>
      </c>
      <c r="E5" s="10" t="inlineStr">
        <is>
          <t>Option 1</t>
        </is>
      </c>
      <c r="F5" s="10" t="n">
        <v>1120.73</v>
      </c>
      <c r="G5" s="10" t="n">
        <v>724.2</v>
      </c>
      <c r="H5" s="10" t="n">
        <v>396.53</v>
      </c>
      <c r="I5" s="10" t="n">
        <v>54.8</v>
      </c>
      <c r="J5" s="10" t="n">
        <v>570.37</v>
      </c>
      <c r="K5" s="10" t="n">
        <v>512.99</v>
      </c>
      <c r="L5" s="10" t="n">
        <v>11.2</v>
      </c>
      <c r="M5" s="11" t="inlineStr">
        <is>
          <t>FAIL</t>
        </is>
      </c>
      <c r="N5" s="10" t="inlineStr"/>
      <c r="O5" s="10" t="inlineStr"/>
    </row>
    <row r="6">
      <c r="A6" s="10" t="inlineStr">
        <is>
          <t>RW-260730-115948</t>
        </is>
      </c>
      <c r="B6" s="10" t="n">
        <v>223880</v>
      </c>
      <c r="C6" s="10" t="inlineStr">
        <is>
          <t>Yes</t>
        </is>
      </c>
      <c r="D6" s="10" t="inlineStr">
        <is>
          <t>22000</t>
        </is>
      </c>
      <c r="E6" s="10" t="inlineStr">
        <is>
          <t>CAD cut</t>
        </is>
      </c>
      <c r="F6" s="10" t="n">
        <v>3416.08</v>
      </c>
      <c r="G6" s="10" t="n">
        <v>2279.73</v>
      </c>
      <c r="H6" s="10" t="n">
        <v>1136.35</v>
      </c>
      <c r="I6" s="10" t="n">
        <v>49.8</v>
      </c>
      <c r="J6" s="10" t="n">
        <v>2205.73</v>
      </c>
      <c r="K6" s="10" t="n">
        <v>1625.14</v>
      </c>
      <c r="L6" s="10" t="n">
        <v>35.7</v>
      </c>
      <c r="M6" s="11" t="inlineStr">
        <is>
          <t>FAIL</t>
        </is>
      </c>
      <c r="N6" s="10" t="inlineStr"/>
      <c r="O6" s="10" t="inlineStr"/>
    </row>
    <row r="7">
      <c r="A7" s="10" t="inlineStr">
        <is>
          <t>RW-260730-154720</t>
        </is>
      </c>
      <c r="B7" s="10" t="n">
        <v>223784</v>
      </c>
      <c r="C7" s="10" t="inlineStr">
        <is>
          <t>Yes</t>
        </is>
      </c>
      <c r="D7" s="10" t="inlineStr">
        <is>
          <t>1</t>
        </is>
      </c>
      <c r="E7" s="10" t="inlineStr">
        <is>
          <t>Option 1</t>
        </is>
      </c>
      <c r="F7" s="10" t="n">
        <v>1331.14</v>
      </c>
      <c r="G7" s="10" t="n">
        <v>906.92</v>
      </c>
      <c r="H7" s="10" t="n">
        <v>424.22</v>
      </c>
      <c r="I7" s="10" t="n">
        <v>46.8</v>
      </c>
      <c r="J7" s="10" t="n">
        <v>495.59</v>
      </c>
      <c r="K7" s="10" t="n">
        <v>504.31</v>
      </c>
      <c r="L7" s="10" t="n">
        <v>-1.7</v>
      </c>
      <c r="M7" s="11" t="inlineStr">
        <is>
          <t>FAIL</t>
        </is>
      </c>
      <c r="N7" s="10" t="inlineStr"/>
      <c r="O7" s="10" t="inlineStr"/>
    </row>
    <row r="8">
      <c r="A8" s="10" t="inlineStr">
        <is>
          <t>RW-260727-090826</t>
        </is>
      </c>
      <c r="B8" s="10" t="n">
        <v>223590</v>
      </c>
      <c r="C8" s="10" t="inlineStr">
        <is>
          <t>Yes</t>
        </is>
      </c>
      <c r="D8" s="10" t="inlineStr">
        <is>
          <t>50</t>
        </is>
      </c>
      <c r="E8" s="10" t="inlineStr">
        <is>
          <t>Option 1</t>
        </is>
      </c>
      <c r="F8" s="10" t="n">
        <v>1050.73</v>
      </c>
      <c r="G8" s="10" t="n">
        <v>724.2</v>
      </c>
      <c r="H8" s="10" t="n">
        <v>326.53</v>
      </c>
      <c r="I8" s="10" t="n">
        <v>45.1</v>
      </c>
      <c r="J8" s="10" t="n">
        <v>500.37</v>
      </c>
      <c r="K8" s="10" t="n">
        <v>512.99</v>
      </c>
      <c r="L8" s="10" t="n">
        <v>-2.5</v>
      </c>
      <c r="M8" s="11" t="inlineStr">
        <is>
          <t>FAIL</t>
        </is>
      </c>
      <c r="N8" s="10" t="inlineStr"/>
      <c r="O8" s="10" t="inlineStr"/>
    </row>
    <row r="9">
      <c r="A9" s="10" t="inlineStr">
        <is>
          <t>RW-260730-153734</t>
        </is>
      </c>
      <c r="B9" s="10" t="n">
        <v>223837</v>
      </c>
      <c r="C9" s="10" t="inlineStr">
        <is>
          <t>Yes</t>
        </is>
      </c>
      <c r="D9" s="10" t="inlineStr">
        <is>
          <t>500</t>
        </is>
      </c>
      <c r="E9" s="10" t="inlineStr">
        <is>
          <t>Option 1</t>
        </is>
      </c>
      <c r="F9" s="10" t="n">
        <v>1668.47</v>
      </c>
      <c r="G9" s="10" t="n">
        <v>1221.28</v>
      </c>
      <c r="H9" s="10" t="n">
        <v>447.19</v>
      </c>
      <c r="I9" s="10" t="n">
        <v>36.6</v>
      </c>
      <c r="J9" s="10" t="n">
        <v>816.87</v>
      </c>
      <c r="K9" s="10" t="n">
        <v>814.1900000000001</v>
      </c>
      <c r="L9" s="10" t="n">
        <v>0.3</v>
      </c>
      <c r="M9" s="11" t="inlineStr">
        <is>
          <t>FAIL</t>
        </is>
      </c>
      <c r="N9" s="10" t="inlineStr"/>
      <c r="O9" s="10" t="inlineStr"/>
    </row>
    <row r="10">
      <c r="A10" s="10" t="inlineStr">
        <is>
          <t>RW-260720-112723</t>
        </is>
      </c>
      <c r="B10" s="10" t="n">
        <v>223707</v>
      </c>
      <c r="C10" s="10" t="inlineStr">
        <is>
          <t>No</t>
        </is>
      </c>
      <c r="D10" s="10" t="inlineStr">
        <is>
          <t>1300</t>
        </is>
      </c>
      <c r="E10" s="10" t="inlineStr">
        <is>
          <t>Option 1</t>
        </is>
      </c>
      <c r="F10" s="10" t="n">
        <v>3661.24</v>
      </c>
      <c r="G10" s="10" t="n">
        <v>5528.87</v>
      </c>
      <c r="H10" s="10" t="n">
        <v>-1867.63</v>
      </c>
      <c r="I10" s="10" t="n">
        <v>-33.8</v>
      </c>
      <c r="J10" s="10" t="n">
        <v>2636.21</v>
      </c>
      <c r="K10" s="10" t="n">
        <v>3573.81</v>
      </c>
      <c r="L10" s="10" t="n">
        <v>-26.2</v>
      </c>
      <c r="M10" s="11" t="inlineStr">
        <is>
          <t>FAIL</t>
        </is>
      </c>
      <c r="N10" s="10" t="inlineStr"/>
      <c r="O10" s="10" t="inlineStr"/>
    </row>
    <row r="11">
      <c r="A11" s="10" t="inlineStr">
        <is>
          <t>RW-260629-132636</t>
        </is>
      </c>
      <c r="B11" s="10" t="n">
        <v>223389</v>
      </c>
      <c r="C11" s="10" t="inlineStr">
        <is>
          <t>No</t>
        </is>
      </c>
      <c r="D11" s="10" t="inlineStr">
        <is>
          <t>1700</t>
        </is>
      </c>
      <c r="E11" s="10" t="inlineStr">
        <is>
          <t>Option 1</t>
        </is>
      </c>
      <c r="F11" s="10" t="n">
        <v>2768.73</v>
      </c>
      <c r="G11" s="10" t="n">
        <v>4029.71</v>
      </c>
      <c r="H11" s="10" t="n">
        <v>-1260.98</v>
      </c>
      <c r="I11" s="10" t="n">
        <v>-31.3</v>
      </c>
      <c r="J11" s="10" t="n">
        <v>1913.14</v>
      </c>
      <c r="K11" s="10" t="n">
        <v>2088.26</v>
      </c>
      <c r="L11" s="10" t="n">
        <v>-8.4</v>
      </c>
      <c r="M11" s="11" t="inlineStr">
        <is>
          <t>FAIL</t>
        </is>
      </c>
      <c r="N11" s="10" t="inlineStr"/>
      <c r="O11" s="10" t="inlineStr"/>
    </row>
    <row r="12">
      <c r="A12" s="10" t="inlineStr">
        <is>
          <t>RW-260722-095152</t>
        </is>
      </c>
      <c r="B12" s="10" t="n">
        <v>223575</v>
      </c>
      <c r="C12" s="10" t="inlineStr">
        <is>
          <t>Yes</t>
        </is>
      </c>
      <c r="D12" s="10" t="inlineStr">
        <is>
          <t>500</t>
        </is>
      </c>
      <c r="E12" s="10" t="inlineStr">
        <is>
          <t>Option 1</t>
        </is>
      </c>
      <c r="F12" s="10" t="n">
        <v>1288.67</v>
      </c>
      <c r="G12" s="10" t="n">
        <v>985.09</v>
      </c>
      <c r="H12" s="10" t="n">
        <v>303.58</v>
      </c>
      <c r="I12" s="10" t="n">
        <v>30.8</v>
      </c>
      <c r="J12" s="10" t="n">
        <v>666.8200000000001</v>
      </c>
      <c r="K12" s="10" t="n">
        <v>572.62</v>
      </c>
      <c r="L12" s="10" t="n">
        <v>16.5</v>
      </c>
      <c r="M12" s="11" t="inlineStr">
        <is>
          <t>FAIL</t>
        </is>
      </c>
      <c r="N12" s="10" t="inlineStr"/>
      <c r="O12" s="10" t="inlineStr"/>
    </row>
    <row r="13">
      <c r="A13" s="10" t="inlineStr">
        <is>
          <t>RW-260622-133707</t>
        </is>
      </c>
      <c r="B13" s="10" t="n">
        <v>222085</v>
      </c>
      <c r="C13" s="10" t="inlineStr">
        <is>
          <t>No</t>
        </is>
      </c>
      <c r="D13" s="10" t="inlineStr">
        <is>
          <t>515</t>
        </is>
      </c>
      <c r="E13" s="10" t="inlineStr">
        <is>
          <t>RSC/Filler/Tray</t>
        </is>
      </c>
      <c r="F13" s="10" t="n">
        <v>5763.82</v>
      </c>
      <c r="G13" s="10" t="n">
        <v>8118.47</v>
      </c>
      <c r="H13" s="10" t="n">
        <v>-2354.65</v>
      </c>
      <c r="I13" s="10" t="n">
        <v>-29</v>
      </c>
      <c r="J13" s="10" t="n">
        <v>3855.26</v>
      </c>
      <c r="K13" s="10" t="n">
        <v>3665.14</v>
      </c>
      <c r="L13" s="10" t="n">
        <v>5.2</v>
      </c>
      <c r="M13" s="11" t="inlineStr">
        <is>
          <t>FAIL</t>
        </is>
      </c>
      <c r="N13" s="10" t="inlineStr"/>
      <c r="O13" s="10" t="inlineStr"/>
    </row>
    <row r="14">
      <c r="A14" s="10" t="inlineStr">
        <is>
          <t>RW-260727-144121</t>
        </is>
      </c>
      <c r="B14" s="10" t="n">
        <v>223575</v>
      </c>
      <c r="C14" s="10" t="inlineStr">
        <is>
          <t>Yes</t>
        </is>
      </c>
      <c r="D14" s="10" t="inlineStr">
        <is>
          <t>500</t>
        </is>
      </c>
      <c r="E14" s="10" t="inlineStr">
        <is>
          <t>Option 1</t>
        </is>
      </c>
      <c r="F14" s="10" t="n">
        <v>1259.41</v>
      </c>
      <c r="G14" s="10" t="n">
        <v>985.09</v>
      </c>
      <c r="H14" s="10" t="n">
        <v>274.32</v>
      </c>
      <c r="I14" s="10" t="n">
        <v>27.8</v>
      </c>
      <c r="J14" s="10" t="n">
        <v>652.2</v>
      </c>
      <c r="K14" s="10" t="n">
        <v>572.62</v>
      </c>
      <c r="L14" s="10" t="n">
        <v>13.9</v>
      </c>
      <c r="M14" s="11" t="inlineStr">
        <is>
          <t>FAIL</t>
        </is>
      </c>
      <c r="N14" s="10" t="inlineStr"/>
      <c r="O14" s="10" t="inlineStr"/>
    </row>
    <row r="15">
      <c r="A15" s="10" t="inlineStr">
        <is>
          <t>RW-260706-110912</t>
        </is>
      </c>
      <c r="B15" s="10" t="n">
        <v>223498</v>
      </c>
      <c r="C15" s="10" t="inlineStr">
        <is>
          <t>No</t>
        </is>
      </c>
      <c r="D15" s="10" t="inlineStr">
        <is>
          <t>500</t>
        </is>
      </c>
      <c r="E15" s="10" t="inlineStr">
        <is>
          <t>Option 1</t>
        </is>
      </c>
      <c r="F15" s="10" t="n">
        <v>1478.65</v>
      </c>
      <c r="G15" s="10" t="n">
        <v>1168.02</v>
      </c>
      <c r="H15" s="10" t="n">
        <v>310.63</v>
      </c>
      <c r="I15" s="10" t="n">
        <v>26.6</v>
      </c>
      <c r="J15" s="10" t="n">
        <v>808.3</v>
      </c>
      <c r="K15" s="10" t="n">
        <v>762.05</v>
      </c>
      <c r="L15" s="10" t="n">
        <v>6.1</v>
      </c>
      <c r="M15" s="11" t="inlineStr">
        <is>
          <t>FAIL</t>
        </is>
      </c>
      <c r="N15" s="10" t="inlineStr"/>
      <c r="O15" s="10" t="inlineStr"/>
    </row>
    <row r="16">
      <c r="A16" s="10" t="inlineStr">
        <is>
          <t>RW-260727-102959</t>
        </is>
      </c>
      <c r="B16" s="10" t="n">
        <v>223393</v>
      </c>
      <c r="C16" s="10" t="inlineStr">
        <is>
          <t>Yes</t>
        </is>
      </c>
      <c r="D16" s="10" t="inlineStr">
        <is>
          <t>230</t>
        </is>
      </c>
      <c r="E16" s="10" t="inlineStr">
        <is>
          <t>Option 1</t>
        </is>
      </c>
      <c r="F16" s="10" t="n">
        <v>1753.9</v>
      </c>
      <c r="G16" s="10" t="n">
        <v>1387.27</v>
      </c>
      <c r="H16" s="10" t="n">
        <v>366.63</v>
      </c>
      <c r="I16" s="10" t="n">
        <v>26.4</v>
      </c>
      <c r="J16" s="10" t="n">
        <v>1142.04</v>
      </c>
      <c r="K16" s="10" t="n">
        <v>882.17</v>
      </c>
      <c r="L16" s="10" t="n">
        <v>29.5</v>
      </c>
      <c r="M16" s="11" t="inlineStr">
        <is>
          <t>FAIL</t>
        </is>
      </c>
      <c r="N16" s="10" t="inlineStr"/>
      <c r="O16" s="10" t="inlineStr"/>
    </row>
    <row r="17">
      <c r="A17" s="10" t="inlineStr">
        <is>
          <t>RW-260706-094426</t>
        </is>
      </c>
      <c r="B17" s="10" t="n">
        <v>223488</v>
      </c>
      <c r="C17" s="10" t="inlineStr">
        <is>
          <t>No</t>
        </is>
      </c>
      <c r="D17" s="10" t="inlineStr">
        <is>
          <t>300</t>
        </is>
      </c>
      <c r="E17" s="10" t="inlineStr">
        <is>
          <t>CAD 1-Side (mailer only)</t>
        </is>
      </c>
      <c r="F17" s="10" t="n">
        <v>1952.9</v>
      </c>
      <c r="G17" s="10" t="n">
        <v>1548.37</v>
      </c>
      <c r="H17" s="10" t="n">
        <v>404.53</v>
      </c>
      <c r="I17" s="10" t="n">
        <v>26.1</v>
      </c>
      <c r="J17" s="10" t="n">
        <v>1326.32</v>
      </c>
      <c r="K17" s="10" t="n">
        <v>1035.04</v>
      </c>
      <c r="L17" s="10" t="n">
        <v>28.1</v>
      </c>
      <c r="M17" s="11" t="inlineStr">
        <is>
          <t>FAIL</t>
        </is>
      </c>
      <c r="N17" s="10" t="inlineStr"/>
      <c r="O17" s="10" t="inlineStr">
        <is>
          <t>per-component; 4 inserts have no iQuote counterpart</t>
        </is>
      </c>
    </row>
    <row r="18">
      <c r="A18" s="10" t="inlineStr">
        <is>
          <t>RW-260706-110912</t>
        </is>
      </c>
      <c r="B18" s="10" t="n">
        <v>223498</v>
      </c>
      <c r="C18" s="10" t="inlineStr">
        <is>
          <t>No</t>
        </is>
      </c>
      <c r="D18" s="10" t="inlineStr">
        <is>
          <t>350</t>
        </is>
      </c>
      <c r="E18" s="10" t="inlineStr">
        <is>
          <t>Option 1</t>
        </is>
      </c>
      <c r="F18" s="10" t="n">
        <v>1208.46</v>
      </c>
      <c r="G18" s="10" t="n">
        <v>958.6</v>
      </c>
      <c r="H18" s="10" t="n">
        <v>249.86</v>
      </c>
      <c r="I18" s="10" t="n">
        <v>26.1</v>
      </c>
      <c r="J18" s="10" t="n">
        <v>673.2</v>
      </c>
      <c r="K18" s="10" t="n">
        <v>617.4299999999999</v>
      </c>
      <c r="L18" s="10" t="n">
        <v>9</v>
      </c>
      <c r="M18" s="11" t="inlineStr">
        <is>
          <t>FAIL</t>
        </is>
      </c>
      <c r="N18" s="10" t="inlineStr"/>
      <c r="O18" s="10" t="inlineStr"/>
    </row>
    <row r="19">
      <c r="A19" s="10" t="inlineStr">
        <is>
          <t>RW-260724-113737</t>
        </is>
      </c>
      <c r="B19" s="10" t="n">
        <v>223651</v>
      </c>
      <c r="C19" s="10" t="inlineStr">
        <is>
          <t>Yes</t>
        </is>
      </c>
      <c r="D19" s="10" t="inlineStr">
        <is>
          <t>59</t>
        </is>
      </c>
      <c r="E19" s="10" t="inlineStr">
        <is>
          <t>Option 1</t>
        </is>
      </c>
      <c r="F19" s="10" t="n">
        <v>194.89</v>
      </c>
      <c r="G19" s="10" t="n">
        <v>157.17</v>
      </c>
      <c r="H19" s="10" t="n">
        <v>37.72</v>
      </c>
      <c r="I19" s="10" t="n">
        <v>24</v>
      </c>
      <c r="J19" s="10" t="n">
        <v>97.45</v>
      </c>
      <c r="K19" s="10" t="n">
        <v>100.92</v>
      </c>
      <c r="L19" s="10" t="n">
        <v>-3.4</v>
      </c>
      <c r="M19" s="11" t="inlineStr">
        <is>
          <t>FAIL</t>
        </is>
      </c>
      <c r="N19" s="10" t="inlineStr"/>
      <c r="O19" s="10" t="inlineStr"/>
    </row>
    <row r="20">
      <c r="A20" s="10" t="inlineStr">
        <is>
          <t>RW-260727-105300</t>
        </is>
      </c>
      <c r="B20" s="10" t="n">
        <v>223376</v>
      </c>
      <c r="C20" s="10" t="inlineStr">
        <is>
          <t>Yes</t>
        </is>
      </c>
      <c r="D20" s="10" t="inlineStr">
        <is>
          <t>75/150 kit</t>
        </is>
      </c>
      <c r="E20" s="10" t="inlineStr">
        <is>
          <t>Option 1</t>
        </is>
      </c>
      <c r="F20" s="10" t="n">
        <v>3798.03</v>
      </c>
      <c r="G20" s="10" t="n">
        <v>3134.12</v>
      </c>
      <c r="H20" s="10" t="n">
        <v>663.91</v>
      </c>
      <c r="I20" s="10" t="n">
        <v>21.2</v>
      </c>
      <c r="J20" s="10" t="n">
        <v>2267.45</v>
      </c>
      <c r="K20" s="10" t="n">
        <v>1948.51</v>
      </c>
      <c r="L20" s="10" t="n">
        <v>16.4</v>
      </c>
      <c r="M20" s="11" t="inlineStr">
        <is>
          <t>FAIL</t>
        </is>
      </c>
      <c r="N20" s="10" t="inlineStr"/>
      <c r="O20" s="10" t="inlineStr"/>
    </row>
    <row r="21">
      <c r="A21" s="10" t="inlineStr">
        <is>
          <t>RW-260706-110912</t>
        </is>
      </c>
      <c r="B21" s="10" t="n">
        <v>223498</v>
      </c>
      <c r="C21" s="10" t="inlineStr">
        <is>
          <t>No</t>
        </is>
      </c>
      <c r="D21" s="10" t="inlineStr">
        <is>
          <t>250</t>
        </is>
      </c>
      <c r="E21" s="10" t="inlineStr">
        <is>
          <t>Option 1</t>
        </is>
      </c>
      <c r="F21" s="10" t="n">
        <v>991.12</v>
      </c>
      <c r="G21" s="10" t="n">
        <v>818.97</v>
      </c>
      <c r="H21" s="10" t="n">
        <v>172.15</v>
      </c>
      <c r="I21" s="10" t="n">
        <v>21</v>
      </c>
      <c r="J21" s="10" t="n">
        <v>564.54</v>
      </c>
      <c r="K21" s="10" t="n">
        <v>521.01</v>
      </c>
      <c r="L21" s="10" t="n">
        <v>8.4</v>
      </c>
      <c r="M21" s="11" t="inlineStr">
        <is>
          <t>FAIL</t>
        </is>
      </c>
      <c r="N21" s="10" t="inlineStr"/>
      <c r="O21" s="10" t="inlineStr"/>
    </row>
    <row r="22">
      <c r="A22" s="10" t="inlineStr">
        <is>
          <t>RW-260721-102108</t>
        </is>
      </c>
      <c r="B22" s="10" t="n">
        <v>223785</v>
      </c>
      <c r="C22" s="10" t="inlineStr">
        <is>
          <t>No</t>
        </is>
      </c>
      <c r="D22" s="10" t="inlineStr">
        <is>
          <t>500</t>
        </is>
      </c>
      <c r="E22" s="10" t="inlineStr">
        <is>
          <t>Kraft/Kraft - with white</t>
        </is>
      </c>
      <c r="F22" s="10" t="n">
        <v>1183.59</v>
      </c>
      <c r="G22" s="10" t="n">
        <v>1003.06</v>
      </c>
      <c r="H22" s="10" t="n">
        <v>180.53</v>
      </c>
      <c r="I22" s="10" t="n">
        <v>18</v>
      </c>
      <c r="J22" s="10" t="n">
        <v>601.79</v>
      </c>
      <c r="K22" s="10" t="n">
        <v>734.49</v>
      </c>
      <c r="L22" s="10" t="n">
        <v>-18.1</v>
      </c>
      <c r="M22" s="12" t="inlineStr">
        <is>
          <t>REVIEW</t>
        </is>
      </c>
      <c r="N22" s="10" t="inlineStr"/>
      <c r="O22" s="10" t="inlineStr"/>
    </row>
    <row r="23">
      <c r="A23" s="10" t="inlineStr">
        <is>
          <t>RW-260720-134257</t>
        </is>
      </c>
      <c r="B23" s="10" t="n">
        <v>223689</v>
      </c>
      <c r="C23" s="10" t="inlineStr">
        <is>
          <t>No</t>
        </is>
      </c>
      <c r="D23" s="10" t="inlineStr">
        <is>
          <t>700</t>
        </is>
      </c>
      <c r="E23" s="10" t="inlineStr">
        <is>
          <t>Die Cut</t>
        </is>
      </c>
      <c r="F23" s="10" t="n">
        <v>5753.95</v>
      </c>
      <c r="G23" s="10" t="n">
        <v>4904.67</v>
      </c>
      <c r="H23" s="10" t="n">
        <v>849.28</v>
      </c>
      <c r="I23" s="10" t="n">
        <v>17.3</v>
      </c>
      <c r="J23" s="10" t="n">
        <v>4212.3</v>
      </c>
      <c r="K23" s="10" t="n">
        <v>2961.04</v>
      </c>
      <c r="L23" s="10" t="n">
        <v>42.3</v>
      </c>
      <c r="M23" s="12" t="inlineStr">
        <is>
          <t>REVIEW</t>
        </is>
      </c>
      <c r="N23" s="10" t="inlineStr"/>
      <c r="O23" s="10" t="inlineStr"/>
    </row>
    <row r="24">
      <c r="A24" s="10" t="inlineStr">
        <is>
          <t>RW-260720-093753</t>
        </is>
      </c>
      <c r="B24" s="10" t="n">
        <v>221299</v>
      </c>
      <c r="C24" s="10" t="inlineStr">
        <is>
          <t>No</t>
        </is>
      </c>
      <c r="D24" s="10" t="inlineStr">
        <is>
          <t>30/300 kit</t>
        </is>
      </c>
      <c r="E24" s="10" t="inlineStr">
        <is>
          <t>Option 1 - Original</t>
        </is>
      </c>
      <c r="F24" s="10" t="n">
        <v>3006.89</v>
      </c>
      <c r="G24" s="10" t="n">
        <v>2570.16</v>
      </c>
      <c r="H24" s="10" t="n">
        <v>436.73</v>
      </c>
      <c r="I24" s="10" t="n">
        <v>17</v>
      </c>
      <c r="J24" s="10" t="n">
        <v>1742.99</v>
      </c>
      <c r="K24" s="10" t="n">
        <v>1506.97</v>
      </c>
      <c r="L24" s="10" t="n">
        <v>15.7</v>
      </c>
      <c r="M24" s="12" t="inlineStr">
        <is>
          <t>REVIEW</t>
        </is>
      </c>
      <c r="N24" s="10" t="inlineStr"/>
      <c r="O24" s="10" t="inlineStr"/>
    </row>
    <row r="25">
      <c r="A25" s="10" t="inlineStr">
        <is>
          <t>RW-260720-083107</t>
        </is>
      </c>
      <c r="B25" s="10" t="n">
        <v>223752</v>
      </c>
      <c r="C25" s="10" t="inlineStr">
        <is>
          <t>No</t>
        </is>
      </c>
      <c r="D25" s="10" t="inlineStr">
        <is>
          <t>600</t>
        </is>
      </c>
      <c r="E25" s="10" t="inlineStr">
        <is>
          <t>Option 1</t>
        </is>
      </c>
      <c r="F25" s="10" t="n">
        <v>3418.16</v>
      </c>
      <c r="G25" s="10" t="n">
        <v>2931.56</v>
      </c>
      <c r="H25" s="10" t="n">
        <v>486.6</v>
      </c>
      <c r="I25" s="10" t="n">
        <v>16.6</v>
      </c>
      <c r="J25" s="10" t="n">
        <v>1990.35</v>
      </c>
      <c r="K25" s="10" t="n">
        <v>1927.75</v>
      </c>
      <c r="L25" s="10" t="n">
        <v>3.2</v>
      </c>
      <c r="M25" s="12" t="inlineStr">
        <is>
          <t>REVIEW</t>
        </is>
      </c>
      <c r="N25" s="10" t="inlineStr"/>
      <c r="O25" s="10" t="inlineStr"/>
    </row>
    <row r="26">
      <c r="A26" s="10" t="inlineStr">
        <is>
          <t>RW-260709-132147</t>
        </is>
      </c>
      <c r="B26" s="10" t="n">
        <v>221998</v>
      </c>
      <c r="C26" s="10" t="inlineStr">
        <is>
          <t>No</t>
        </is>
      </c>
      <c r="D26" s="10" t="inlineStr">
        <is>
          <t>525 kit</t>
        </is>
      </c>
      <c r="E26" s="10" t="inlineStr">
        <is>
          <t>D/C w/riser minus Riser</t>
        </is>
      </c>
      <c r="F26" s="10" t="n">
        <v>34381.73</v>
      </c>
      <c r="G26" s="10" t="n">
        <v>40873.15</v>
      </c>
      <c r="H26" s="10" t="n">
        <v>-6491.42</v>
      </c>
      <c r="I26" s="10" t="n">
        <v>-15.9</v>
      </c>
      <c r="J26" s="10" t="n">
        <v>25072.74</v>
      </c>
      <c r="K26" s="10" t="n">
        <v>23504.34</v>
      </c>
      <c r="L26" s="10" t="n">
        <v>6.7</v>
      </c>
      <c r="M26" s="12" t="inlineStr">
        <is>
          <t>REVIEW</t>
        </is>
      </c>
      <c r="N26" s="10" t="inlineStr"/>
      <c r="O26" s="10" t="inlineStr">
        <is>
          <t>Riser excluded (not in SPOT est)</t>
        </is>
      </c>
    </row>
    <row r="27">
      <c r="A27" s="10" t="inlineStr">
        <is>
          <t>RW-260721-135500</t>
        </is>
      </c>
      <c r="B27" s="10" t="n">
        <v>223597</v>
      </c>
      <c r="C27" s="10" t="inlineStr">
        <is>
          <t>Yes</t>
        </is>
      </c>
      <c r="D27" s="10" t="inlineStr">
        <is>
          <t>250</t>
        </is>
      </c>
      <c r="E27" s="10" t="inlineStr">
        <is>
          <t>Option 1</t>
        </is>
      </c>
      <c r="F27" s="10" t="n">
        <v>3176.43</v>
      </c>
      <c r="G27" s="10" t="n">
        <v>2749.42</v>
      </c>
      <c r="H27" s="10" t="n">
        <v>427.01</v>
      </c>
      <c r="I27" s="10" t="n">
        <v>15.5</v>
      </c>
      <c r="J27" s="10" t="n">
        <v>2156.38</v>
      </c>
      <c r="K27" s="10" t="n">
        <v>1628.98</v>
      </c>
      <c r="L27" s="10" t="n">
        <v>32.4</v>
      </c>
      <c r="M27" s="12" t="inlineStr">
        <is>
          <t>REVIEW</t>
        </is>
      </c>
      <c r="N27" s="10" t="inlineStr"/>
      <c r="O27" s="10" t="inlineStr"/>
    </row>
    <row r="28">
      <c r="A28" s="10" t="inlineStr">
        <is>
          <t>RW-260720-132349</t>
        </is>
      </c>
      <c r="B28" s="10" t="n">
        <v>223702</v>
      </c>
      <c r="C28" s="10" t="inlineStr">
        <is>
          <t>No</t>
        </is>
      </c>
      <c r="D28" s="10" t="inlineStr">
        <is>
          <t>250</t>
        </is>
      </c>
      <c r="E28" s="10" t="inlineStr">
        <is>
          <t>Die</t>
        </is>
      </c>
      <c r="F28" s="10" t="n">
        <v>7744.83</v>
      </c>
      <c r="G28" s="10" t="n">
        <v>9166.92</v>
      </c>
      <c r="H28" s="10" t="n">
        <v>-1422.09</v>
      </c>
      <c r="I28" s="10" t="n">
        <v>-15.5</v>
      </c>
      <c r="J28" s="10" t="n">
        <v>5497.44</v>
      </c>
      <c r="K28" s="10" t="n">
        <v>4564.74</v>
      </c>
      <c r="L28" s="10" t="n">
        <v>20.4</v>
      </c>
      <c r="M28" s="12" t="inlineStr">
        <is>
          <t>REVIEW</t>
        </is>
      </c>
      <c r="N28" s="10" t="inlineStr"/>
      <c r="O28" s="10" t="inlineStr"/>
    </row>
    <row r="29">
      <c r="A29" s="10" t="inlineStr">
        <is>
          <t>RW-260720-133223</t>
        </is>
      </c>
      <c r="B29" s="10" t="n">
        <v>223701</v>
      </c>
      <c r="C29" s="10" t="inlineStr">
        <is>
          <t>No</t>
        </is>
      </c>
      <c r="D29" s="10" t="inlineStr">
        <is>
          <t>200</t>
        </is>
      </c>
      <c r="E29" s="10" t="inlineStr">
        <is>
          <t>Option 1</t>
        </is>
      </c>
      <c r="F29" s="10" t="n">
        <v>4996.39</v>
      </c>
      <c r="G29" s="10" t="n">
        <v>5894.43</v>
      </c>
      <c r="H29" s="10" t="n">
        <v>-898.04</v>
      </c>
      <c r="I29" s="10" t="n">
        <v>-15.2</v>
      </c>
      <c r="J29" s="10" t="n">
        <v>3138.43</v>
      </c>
      <c r="K29" s="10" t="n">
        <v>3174.49</v>
      </c>
      <c r="L29" s="10" t="n">
        <v>-1.1</v>
      </c>
      <c r="M29" s="12" t="inlineStr">
        <is>
          <t>REVIEW</t>
        </is>
      </c>
      <c r="N29" s="10" t="inlineStr"/>
      <c r="O29" s="10" t="inlineStr"/>
    </row>
    <row r="30">
      <c r="A30" s="10" t="inlineStr">
        <is>
          <t>RW-260720-133223</t>
        </is>
      </c>
      <c r="B30" s="10" t="n">
        <v>223701</v>
      </c>
      <c r="C30" s="10" t="inlineStr">
        <is>
          <t>No</t>
        </is>
      </c>
      <c r="D30" s="10" t="inlineStr">
        <is>
          <t>50</t>
        </is>
      </c>
      <c r="E30" s="10" t="inlineStr">
        <is>
          <t>Option 1</t>
        </is>
      </c>
      <c r="F30" s="10" t="n">
        <v>2449.07</v>
      </c>
      <c r="G30" s="10" t="n">
        <v>2142.17</v>
      </c>
      <c r="H30" s="10" t="n">
        <v>306.9</v>
      </c>
      <c r="I30" s="10" t="n">
        <v>14.3</v>
      </c>
      <c r="J30" s="10" t="n">
        <v>1086.57</v>
      </c>
      <c r="K30" s="10" t="n">
        <v>1134.3</v>
      </c>
      <c r="L30" s="10" t="n">
        <v>-4.2</v>
      </c>
      <c r="M30" s="12" t="inlineStr">
        <is>
          <t>REVIEW</t>
        </is>
      </c>
      <c r="N30" s="10" t="inlineStr"/>
      <c r="O30" s="10" t="inlineStr"/>
    </row>
    <row r="31">
      <c r="A31" s="10" t="inlineStr">
        <is>
          <t>RW-260629-134103</t>
        </is>
      </c>
      <c r="B31" s="10" t="n">
        <v>223376</v>
      </c>
      <c r="C31" s="10" t="inlineStr">
        <is>
          <t>Yes</t>
        </is>
      </c>
      <c r="D31" s="10" t="inlineStr">
        <is>
          <t>75/150 kit</t>
        </is>
      </c>
      <c r="E31" s="10" t="inlineStr">
        <is>
          <t>Option 1</t>
        </is>
      </c>
      <c r="F31" s="10" t="n">
        <v>3515.4</v>
      </c>
      <c r="G31" s="10" t="n">
        <v>3134.12</v>
      </c>
      <c r="H31" s="10" t="n">
        <v>381.28</v>
      </c>
      <c r="I31" s="10" t="n">
        <v>12.2</v>
      </c>
      <c r="J31" s="10" t="n">
        <v>2207.38</v>
      </c>
      <c r="K31" s="10" t="n">
        <v>1948.51</v>
      </c>
      <c r="L31" s="10" t="n">
        <v>13.3</v>
      </c>
      <c r="M31" s="12" t="inlineStr">
        <is>
          <t>REVIEW</t>
        </is>
      </c>
      <c r="N31" s="10" t="inlineStr"/>
      <c r="O31" s="10" t="inlineStr"/>
    </row>
    <row r="32">
      <c r="A32" s="10" t="inlineStr">
        <is>
          <t>RW-260730-155412</t>
        </is>
      </c>
      <c r="B32" s="10" t="n">
        <v>223597</v>
      </c>
      <c r="C32" s="10" t="inlineStr">
        <is>
          <t>Yes</t>
        </is>
      </c>
      <c r="D32" s="10" t="inlineStr">
        <is>
          <t>250</t>
        </is>
      </c>
      <c r="E32" s="10" t="inlineStr">
        <is>
          <t>Option 1</t>
        </is>
      </c>
      <c r="F32" s="10" t="n">
        <v>3071.43</v>
      </c>
      <c r="G32" s="10" t="n">
        <v>2749.42</v>
      </c>
      <c r="H32" s="10" t="n">
        <v>322.01</v>
      </c>
      <c r="I32" s="10" t="n">
        <v>11.7</v>
      </c>
      <c r="J32" s="10" t="n">
        <v>2084.98</v>
      </c>
      <c r="K32" s="10" t="n">
        <v>1628.98</v>
      </c>
      <c r="L32" s="10" t="n">
        <v>28</v>
      </c>
      <c r="M32" s="12" t="inlineStr">
        <is>
          <t>REVIEW</t>
        </is>
      </c>
      <c r="N32" s="10" t="inlineStr"/>
      <c r="O32" s="10" t="inlineStr"/>
    </row>
    <row r="33">
      <c r="A33" s="10" t="inlineStr">
        <is>
          <t>RW-260727-090826</t>
        </is>
      </c>
      <c r="B33" s="10" t="n">
        <v>223590</v>
      </c>
      <c r="C33" s="10" t="inlineStr">
        <is>
          <t>Yes</t>
        </is>
      </c>
      <c r="D33" s="10" t="inlineStr">
        <is>
          <t>100</t>
        </is>
      </c>
      <c r="E33" s="10" t="inlineStr">
        <is>
          <t>Option 1</t>
        </is>
      </c>
      <c r="F33" s="10" t="n">
        <v>1361.8</v>
      </c>
      <c r="G33" s="10" t="n">
        <v>1230.77</v>
      </c>
      <c r="H33" s="10" t="n">
        <v>131.03</v>
      </c>
      <c r="I33" s="10" t="n">
        <v>10.6</v>
      </c>
      <c r="J33" s="10" t="n">
        <v>826.4400000000001</v>
      </c>
      <c r="K33" s="10" t="n">
        <v>828.29</v>
      </c>
      <c r="L33" s="10" t="n">
        <v>-0.2</v>
      </c>
      <c r="M33" s="12" t="inlineStr">
        <is>
          <t>REVIEW</t>
        </is>
      </c>
      <c r="N33" s="10" t="inlineStr"/>
      <c r="O33" s="10" t="inlineStr"/>
    </row>
    <row r="34">
      <c r="A34" s="10" t="inlineStr">
        <is>
          <t>RW-260722-085112</t>
        </is>
      </c>
      <c r="B34" s="10" t="n">
        <v>223596</v>
      </c>
      <c r="C34" s="10" t="inlineStr">
        <is>
          <t>Yes</t>
        </is>
      </c>
      <c r="D34" s="10" t="inlineStr">
        <is>
          <t>700/1000 kit</t>
        </is>
      </c>
      <c r="E34" s="10" t="inlineStr">
        <is>
          <t>DieCut</t>
        </is>
      </c>
      <c r="F34" s="10" t="n">
        <v>8481.110000000001</v>
      </c>
      <c r="G34" s="10" t="n">
        <v>9299.35</v>
      </c>
      <c r="H34" s="10" t="n">
        <v>-818.24</v>
      </c>
      <c r="I34" s="10" t="n">
        <v>-8.800000000000001</v>
      </c>
      <c r="J34" s="10" t="n">
        <v>5913.14</v>
      </c>
      <c r="K34" s="10" t="n">
        <v>6826.12</v>
      </c>
      <c r="L34" s="10" t="n">
        <v>-13.4</v>
      </c>
      <c r="M34" s="13" t="inlineStr">
        <is>
          <t>PASS</t>
        </is>
      </c>
      <c r="N34" s="10" t="inlineStr"/>
      <c r="O34" s="10" t="inlineStr"/>
    </row>
    <row r="35">
      <c r="A35" s="10" t="inlineStr">
        <is>
          <t>RW-260629-131349</t>
        </is>
      </c>
      <c r="B35" s="10" t="n">
        <v>223408</v>
      </c>
      <c r="C35" s="10" t="inlineStr">
        <is>
          <t>No</t>
        </is>
      </c>
      <c r="D35" s="10" t="inlineStr">
        <is>
          <t>525</t>
        </is>
      </c>
      <c r="E35" s="10" t="inlineStr">
        <is>
          <t>Option 1</t>
        </is>
      </c>
      <c r="F35" s="10" t="n">
        <v>2634.69</v>
      </c>
      <c r="G35" s="10" t="n">
        <v>2452.48</v>
      </c>
      <c r="H35" s="10" t="n">
        <v>182.21</v>
      </c>
      <c r="I35" s="10" t="n">
        <v>7.4</v>
      </c>
      <c r="J35" s="10" t="n">
        <v>1695.06</v>
      </c>
      <c r="K35" s="10" t="n">
        <v>1584.62</v>
      </c>
      <c r="L35" s="10" t="n">
        <v>7</v>
      </c>
      <c r="M35" s="13" t="inlineStr">
        <is>
          <t>PASS</t>
        </is>
      </c>
      <c r="N35" s="10" t="inlineStr"/>
      <c r="O35" s="10" t="inlineStr"/>
    </row>
    <row r="36">
      <c r="A36" s="10" t="inlineStr">
        <is>
          <t>RW-260722-082345</t>
        </is>
      </c>
      <c r="B36" s="10" t="n">
        <v>223591</v>
      </c>
      <c r="C36" s="10" t="inlineStr">
        <is>
          <t>Yes</t>
        </is>
      </c>
      <c r="D36" s="10" t="inlineStr">
        <is>
          <t>300</t>
        </is>
      </c>
      <c r="E36" s="10" t="inlineStr">
        <is>
          <t>Die Cut - for production purposes</t>
        </is>
      </c>
      <c r="F36" s="10" t="n">
        <v>8044.68</v>
      </c>
      <c r="G36" s="10" t="n">
        <v>7577.35</v>
      </c>
      <c r="H36" s="10" t="n">
        <v>467.33</v>
      </c>
      <c r="I36" s="10" t="n">
        <v>6.2</v>
      </c>
      <c r="J36" s="10" t="n">
        <v>6013.51</v>
      </c>
      <c r="K36" s="10" t="n">
        <v>4470.38</v>
      </c>
      <c r="L36" s="10" t="n">
        <v>34.5</v>
      </c>
      <c r="M36" s="13" t="inlineStr">
        <is>
          <t>PASS</t>
        </is>
      </c>
      <c r="N36" s="10" t="inlineStr"/>
      <c r="O36" s="10" t="inlineStr"/>
    </row>
    <row r="37">
      <c r="A37" s="10" t="inlineStr">
        <is>
          <t>RW-260720-132349</t>
        </is>
      </c>
      <c r="B37" s="10" t="n">
        <v>223702</v>
      </c>
      <c r="C37" s="10" t="inlineStr">
        <is>
          <t>No</t>
        </is>
      </c>
      <c r="D37" s="10" t="inlineStr">
        <is>
          <t>500</t>
        </is>
      </c>
      <c r="E37" s="10" t="inlineStr">
        <is>
          <t>Die</t>
        </is>
      </c>
      <c r="F37" s="10" t="n">
        <v>14000.47</v>
      </c>
      <c r="G37" s="10" t="n">
        <v>14908.08</v>
      </c>
      <c r="H37" s="10" t="n">
        <v>-907.61</v>
      </c>
      <c r="I37" s="10" t="n">
        <v>-6.1</v>
      </c>
      <c r="J37" s="10" t="n">
        <v>10337.84</v>
      </c>
      <c r="K37" s="10" t="n">
        <v>8421.299999999999</v>
      </c>
      <c r="L37" s="10" t="n">
        <v>22.8</v>
      </c>
      <c r="M37" s="13" t="inlineStr">
        <is>
          <t>PASS</t>
        </is>
      </c>
      <c r="N37" s="10" t="inlineStr"/>
      <c r="O37" s="10" t="inlineStr"/>
    </row>
    <row r="38">
      <c r="A38" s="10" t="inlineStr">
        <is>
          <t>RW-260706-094426</t>
        </is>
      </c>
      <c r="B38" s="10" t="n">
        <v>223488</v>
      </c>
      <c r="C38" s="10" t="inlineStr">
        <is>
          <t>No</t>
        </is>
      </c>
      <c r="D38" s="10" t="inlineStr">
        <is>
          <t>300</t>
        </is>
      </c>
      <c r="E38" s="10" t="inlineStr">
        <is>
          <t>CAD 2-Sides (mailer only)</t>
        </is>
      </c>
      <c r="F38" s="10" t="n">
        <v>1915.76</v>
      </c>
      <c r="G38" s="10" t="n">
        <v>2031.1</v>
      </c>
      <c r="H38" s="10" t="n">
        <v>-115.34</v>
      </c>
      <c r="I38" s="10" t="n">
        <v>-5.7</v>
      </c>
      <c r="J38" s="10" t="n">
        <v>1571.69</v>
      </c>
      <c r="K38" s="10" t="n">
        <v>1298.5</v>
      </c>
      <c r="L38" s="10" t="n">
        <v>21</v>
      </c>
      <c r="M38" s="13" t="inlineStr">
        <is>
          <t>PASS</t>
        </is>
      </c>
      <c r="N38" s="10" t="inlineStr"/>
      <c r="O38" s="10" t="inlineStr">
        <is>
          <t>per-component</t>
        </is>
      </c>
    </row>
    <row r="39">
      <c r="A39" s="10" t="inlineStr">
        <is>
          <t>RW-260727-101129</t>
        </is>
      </c>
      <c r="B39" s="10" t="n">
        <v>223454</v>
      </c>
      <c r="C39" s="10" t="inlineStr">
        <is>
          <t>Yes</t>
        </is>
      </c>
      <c r="D39" s="10" t="inlineStr">
        <is>
          <t>220</t>
        </is>
      </c>
      <c r="E39" s="10" t="inlineStr">
        <is>
          <t>Option 1 - D/C</t>
        </is>
      </c>
      <c r="F39" s="10" t="n">
        <v>5824.4</v>
      </c>
      <c r="G39" s="10" t="n">
        <v>6164.32</v>
      </c>
      <c r="H39" s="10" t="n">
        <v>-339.92</v>
      </c>
      <c r="I39" s="10" t="n">
        <v>-5.5</v>
      </c>
      <c r="J39" s="10" t="n">
        <v>4348.3</v>
      </c>
      <c r="K39" s="10" t="n">
        <v>3206.43</v>
      </c>
      <c r="L39" s="10" t="n">
        <v>35.6</v>
      </c>
      <c r="M39" s="13" t="inlineStr">
        <is>
          <t>PASS</t>
        </is>
      </c>
      <c r="N39" s="10" t="inlineStr"/>
      <c r="O39" s="10" t="inlineStr"/>
    </row>
    <row r="40">
      <c r="A40" s="10" t="inlineStr">
        <is>
          <t>RW-260623-091031</t>
        </is>
      </c>
      <c r="B40" s="10" t="n">
        <v>223207</v>
      </c>
      <c r="C40" s="10" t="inlineStr">
        <is>
          <t>Yes</t>
        </is>
      </c>
      <c r="D40" s="10" t="inlineStr">
        <is>
          <t>210</t>
        </is>
      </c>
      <c r="E40" s="10" t="inlineStr">
        <is>
          <t>CAD Cut - FRO over 12 hours cutting</t>
        </is>
      </c>
      <c r="F40" s="10" t="n">
        <v>1752.51</v>
      </c>
      <c r="G40" s="10" t="n">
        <v>1826.19</v>
      </c>
      <c r="H40" s="10" t="n">
        <v>-73.68000000000001</v>
      </c>
      <c r="I40" s="10" t="n">
        <v>-4</v>
      </c>
      <c r="J40" s="10" t="n">
        <v>1072.58</v>
      </c>
      <c r="K40" s="10" t="n">
        <v>1476.62</v>
      </c>
      <c r="L40" s="10" t="n">
        <v>-27.4</v>
      </c>
      <c r="M40" s="13" t="inlineStr">
        <is>
          <t>PASS</t>
        </is>
      </c>
      <c r="N40" s="10" t="inlineStr"/>
      <c r="O40" s="10" t="inlineStr"/>
    </row>
    <row r="41">
      <c r="A41" s="10" t="inlineStr">
        <is>
          <t>RW-260720-133223</t>
        </is>
      </c>
      <c r="B41" s="10" t="n">
        <v>223701</v>
      </c>
      <c r="C41" s="10" t="inlineStr">
        <is>
          <t>No</t>
        </is>
      </c>
      <c r="D41" s="10" t="inlineStr">
        <is>
          <t>100</t>
        </is>
      </c>
      <c r="E41" s="10" t="inlineStr">
        <is>
          <t>Option 1</t>
        </is>
      </c>
      <c r="F41" s="10" t="n">
        <v>3337.89</v>
      </c>
      <c r="G41" s="10" t="n">
        <v>3463.91</v>
      </c>
      <c r="H41" s="10" t="n">
        <v>-126.02</v>
      </c>
      <c r="I41" s="10" t="n">
        <v>-3.6</v>
      </c>
      <c r="J41" s="10" t="n">
        <v>1772.52</v>
      </c>
      <c r="K41" s="10" t="n">
        <v>1818.44</v>
      </c>
      <c r="L41" s="10" t="n">
        <v>-2.5</v>
      </c>
      <c r="M41" s="13" t="inlineStr">
        <is>
          <t>PASS</t>
        </is>
      </c>
      <c r="N41" s="10" t="inlineStr"/>
      <c r="O41" s="10" t="inlineStr"/>
    </row>
    <row r="42">
      <c r="A42" s="10" t="inlineStr">
        <is>
          <t>RW-260722-082345</t>
        </is>
      </c>
      <c r="B42" s="10" t="n">
        <v>223591</v>
      </c>
      <c r="C42" s="10" t="inlineStr">
        <is>
          <t>Yes</t>
        </is>
      </c>
      <c r="D42" s="10" t="inlineStr">
        <is>
          <t>250</t>
        </is>
      </c>
      <c r="E42" s="10" t="inlineStr">
        <is>
          <t>Die Cut - for production purposes</t>
        </is>
      </c>
      <c r="F42" s="10" t="n">
        <v>6773.57</v>
      </c>
      <c r="G42" s="10" t="n">
        <v>6549.08</v>
      </c>
      <c r="H42" s="10" t="n">
        <v>224.49</v>
      </c>
      <c r="I42" s="10" t="n">
        <v>3.4</v>
      </c>
      <c r="J42" s="10" t="n">
        <v>5060.17</v>
      </c>
      <c r="K42" s="10" t="n">
        <v>3788.33</v>
      </c>
      <c r="L42" s="10" t="n">
        <v>33.6</v>
      </c>
      <c r="M42" s="13" t="inlineStr">
        <is>
          <t>PASS</t>
        </is>
      </c>
      <c r="N42" s="10" t="inlineStr"/>
      <c r="O42" s="10" t="inlineStr"/>
    </row>
    <row r="43">
      <c r="A43" s="10" t="inlineStr">
        <is>
          <t>RW-260706-110912</t>
        </is>
      </c>
      <c r="B43" s="10" t="n">
        <v>223498</v>
      </c>
      <c r="C43" s="10" t="inlineStr">
        <is>
          <t>No</t>
        </is>
      </c>
      <c r="D43" s="10" t="inlineStr">
        <is>
          <t>750</t>
        </is>
      </c>
      <c r="E43" s="10" t="inlineStr">
        <is>
          <t>Option 1</t>
        </is>
      </c>
      <c r="F43" s="10" t="n">
        <v>1565.74</v>
      </c>
      <c r="G43" s="10" t="n">
        <v>1517.07</v>
      </c>
      <c r="H43" s="10" t="n">
        <v>48.67</v>
      </c>
      <c r="I43" s="10" t="n">
        <v>3.2</v>
      </c>
      <c r="J43" s="10" t="n">
        <v>1024.46</v>
      </c>
      <c r="K43" s="10" t="n">
        <v>1003.09</v>
      </c>
      <c r="L43" s="10" t="n">
        <v>2.1</v>
      </c>
      <c r="M43" s="13" t="inlineStr">
        <is>
          <t>PASS</t>
        </is>
      </c>
      <c r="N43" s="10" t="inlineStr"/>
      <c r="O43" s="10" t="inlineStr"/>
    </row>
    <row r="44">
      <c r="A44" s="10" t="inlineStr">
        <is>
          <t>RW-260727-095102</t>
        </is>
      </c>
      <c r="B44" s="10" t="n">
        <v>223486</v>
      </c>
      <c r="C44" s="10" t="inlineStr">
        <is>
          <t>Yes</t>
        </is>
      </c>
      <c r="D44" s="10" t="inlineStr">
        <is>
          <t>50</t>
        </is>
      </c>
      <c r="E44" s="10" t="inlineStr">
        <is>
          <t>Option 1</t>
        </is>
      </c>
      <c r="F44" s="10" t="n">
        <v>255.63</v>
      </c>
      <c r="G44" s="10" t="n">
        <v>248.28</v>
      </c>
      <c r="H44" s="10" t="n">
        <v>7.35</v>
      </c>
      <c r="I44" s="10" t="n">
        <v>3</v>
      </c>
      <c r="J44" s="10" t="n">
        <v>127.81</v>
      </c>
      <c r="K44" s="10" t="n">
        <v>199.16</v>
      </c>
      <c r="L44" s="10" t="n">
        <v>-35.8</v>
      </c>
      <c r="M44" s="13" t="inlineStr">
        <is>
          <t>PASS</t>
        </is>
      </c>
      <c r="N44" s="10" t="inlineStr"/>
      <c r="O44" s="10" t="inlineStr"/>
    </row>
    <row r="45">
      <c r="A45" s="10" t="inlineStr">
        <is>
          <t>RW-260727-093930</t>
        </is>
      </c>
      <c r="B45" s="10" t="n">
        <v>223538</v>
      </c>
      <c r="C45" s="10" t="inlineStr">
        <is>
          <t>Yes</t>
        </is>
      </c>
      <c r="D45" s="10" t="inlineStr">
        <is>
          <t>350</t>
        </is>
      </c>
      <c r="E45" s="10" t="inlineStr">
        <is>
          <t>CAD Cut ALL</t>
        </is>
      </c>
      <c r="F45" s="10" t="n">
        <v>6591.82</v>
      </c>
      <c r="G45" s="10" t="n">
        <v>6766.74</v>
      </c>
      <c r="H45" s="10" t="n">
        <v>-174.92</v>
      </c>
      <c r="I45" s="10" t="n">
        <v>-2.6</v>
      </c>
      <c r="J45" s="10" t="n">
        <v>4411.55</v>
      </c>
      <c r="K45" s="10" t="n">
        <v>4732.01</v>
      </c>
      <c r="L45" s="10" t="n">
        <v>-6.8</v>
      </c>
      <c r="M45" s="13" t="inlineStr">
        <is>
          <t>PASS</t>
        </is>
      </c>
      <c r="N45" s="10" t="inlineStr"/>
      <c r="O45" s="10" t="inlineStr"/>
    </row>
    <row r="46">
      <c r="A46" s="10" t="inlineStr">
        <is>
          <t>RW-260629-133153</t>
        </is>
      </c>
      <c r="B46" s="10" t="n">
        <v>223378</v>
      </c>
      <c r="C46" s="10" t="inlineStr">
        <is>
          <t>No</t>
        </is>
      </c>
      <c r="D46" s="10" t="inlineStr">
        <is>
          <t>250 sets</t>
        </is>
      </c>
      <c r="E46" s="10" t="inlineStr">
        <is>
          <t>CadCut (kit)</t>
        </is>
      </c>
      <c r="F46" s="10" t="n">
        <v>9144.15</v>
      </c>
      <c r="G46" s="10" t="n">
        <v>9322.530000000001</v>
      </c>
      <c r="H46" s="10" t="n">
        <v>-178.38</v>
      </c>
      <c r="I46" s="10" t="n">
        <v>-1.9</v>
      </c>
      <c r="J46" s="10" t="n">
        <v>6642.87</v>
      </c>
      <c r="K46" s="10" t="n">
        <v>5983</v>
      </c>
      <c r="L46" s="10" t="n">
        <v>11</v>
      </c>
      <c r="M46" s="13" t="inlineStr">
        <is>
          <t>PASS</t>
        </is>
      </c>
      <c r="N46" s="10" t="inlineStr"/>
      <c r="O46" s="10" t="inlineStr">
        <is>
          <t>SPOT side panel qty 500 = 250 sets of 2</t>
        </is>
      </c>
    </row>
    <row r="47">
      <c r="A47" s="10" t="inlineStr">
        <is>
          <t>RW-260724-113737</t>
        </is>
      </c>
      <c r="B47" s="10" t="n">
        <v>223651</v>
      </c>
      <c r="C47" s="10" t="inlineStr">
        <is>
          <t>Yes</t>
        </is>
      </c>
      <c r="D47" s="10" t="inlineStr">
        <is>
          <t>22</t>
        </is>
      </c>
      <c r="E47" s="10" t="inlineStr">
        <is>
          <t>Option 1</t>
        </is>
      </c>
      <c r="F47" s="10" t="n">
        <v>132.39</v>
      </c>
      <c r="G47" s="10" t="n">
        <v>130.54</v>
      </c>
      <c r="H47" s="10" t="n">
        <v>1.85</v>
      </c>
      <c r="I47" s="10" t="n">
        <v>1.4</v>
      </c>
      <c r="J47" s="10" t="n">
        <v>66.2</v>
      </c>
      <c r="K47" s="10" t="n">
        <v>78.34999999999999</v>
      </c>
      <c r="L47" s="10" t="n">
        <v>-15.5</v>
      </c>
      <c r="M47" s="13" t="inlineStr">
        <is>
          <t>PASS</t>
        </is>
      </c>
      <c r="N47" s="10" t="inlineStr"/>
      <c r="O47" s="10" t="inlineStr"/>
    </row>
    <row r="49">
      <c r="A49" s="14" t="inlineStr">
        <is>
          <t>Direct cost = Material+Print+Cutting+Strip+Glue+Freight categories summed identically on both sides. iQuote TotalActualCost is not used (contains uncategorized cost with no SPOT counterpart).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11" customWidth="1" min="4" max="4"/>
    <col width="20" customWidth="1" min="5" max="5"/>
    <col width="11" customWidth="1" min="6" max="6"/>
    <col width="11" customWidth="1" min="7" max="7"/>
    <col width="10" customWidth="1" min="8" max="8"/>
    <col width="8" customWidth="1" min="9" max="9"/>
    <col width="12" customWidth="1" min="10" max="10"/>
    <col width="13" customWidth="1" min="11" max="11"/>
    <col width="9" customWidth="1" min="12" max="12"/>
    <col width="9" customWidth="1" min="13" max="13"/>
    <col width="75" customWidth="1" min="14" max="14"/>
  </cols>
  <sheetData>
    <row r="1">
      <c r="A1" s="1" t="inlineStr">
        <is>
          <t>Outlier Scenarios — excluded from the clean run</t>
        </is>
      </c>
    </row>
    <row r="3">
      <c r="A3" s="6" t="inlineStr">
        <is>
          <t>SPOT Estimate #</t>
        </is>
      </c>
      <c r="B3" s="6" t="inlineStr">
        <is>
          <t>iQuote #</t>
        </is>
      </c>
      <c r="C3" s="6" t="inlineStr">
        <is>
          <t>Became Job</t>
        </is>
      </c>
      <c r="D3" s="6" t="inlineStr">
        <is>
          <t>Qty</t>
        </is>
      </c>
      <c r="E3" s="6" t="inlineStr">
        <is>
          <t>iQuote Option</t>
        </is>
      </c>
      <c r="F3" s="6" t="inlineStr">
        <is>
          <t>SPOT Sell $</t>
        </is>
      </c>
      <c r="G3" s="6" t="inlineStr">
        <is>
          <t>iQuote Sell $</t>
        </is>
      </c>
      <c r="H3" s="6" t="inlineStr">
        <is>
          <t>Delta $</t>
        </is>
      </c>
      <c r="I3" s="6" t="inlineStr">
        <is>
          <t>Delta %</t>
        </is>
      </c>
      <c r="J3" s="6" t="inlineStr">
        <is>
          <t>SPOT Direct Cost $</t>
        </is>
      </c>
      <c r="K3" s="6" t="inlineStr">
        <is>
          <t>iQuote Direct Cost $</t>
        </is>
      </c>
      <c r="L3" s="6" t="inlineStr">
        <is>
          <t>Cost Delta %</t>
        </is>
      </c>
      <c r="M3" s="6" t="inlineStr">
        <is>
          <t>Verdict</t>
        </is>
      </c>
      <c r="N3" s="6" t="inlineStr">
        <is>
          <t>Explanation</t>
        </is>
      </c>
    </row>
    <row r="4" ht="55" customHeight="1">
      <c r="A4" s="10" t="inlineStr">
        <is>
          <t>RW-260723-084853</t>
        </is>
      </c>
      <c r="B4" s="10" t="n">
        <v>223791</v>
      </c>
      <c r="C4" s="10" t="inlineStr">
        <is>
          <t>No</t>
        </is>
      </c>
      <c r="D4" s="10" t="inlineStr">
        <is>
          <t>8</t>
        </is>
      </c>
      <c r="E4" s="10" t="inlineStr">
        <is>
          <t>Option 1</t>
        </is>
      </c>
      <c r="F4" s="10" t="n">
        <v>14773.92</v>
      </c>
      <c r="G4" s="10" t="n">
        <v>4461.64</v>
      </c>
      <c r="H4" s="10" t="n">
        <v>10312.28</v>
      </c>
      <c r="I4" s="10" t="n">
        <v>231.1</v>
      </c>
      <c r="J4" s="10" t="n">
        <v>9521.459999999999</v>
      </c>
      <c r="K4" s="10" t="n">
        <v>2338.79</v>
      </c>
      <c r="L4" s="10" t="n">
        <v>307.1</v>
      </c>
      <c r="M4" s="11" t="inlineStr">
        <is>
          <t>FAIL</t>
        </is>
      </c>
      <c r="N4" s="15" t="inlineStr">
        <is>
          <t>Eggcrate component anomaly: SPOT $9,570 vs iQuote $523 (~18x) on 'Bottom Shelf Eggcrate &amp; 4th Roll Up' (Saber + D/C route). Other components on quote are +20-35%. Suspected SPOT setup/route bug — under investigation.</t>
        </is>
      </c>
    </row>
    <row r="5" ht="55" customHeight="1">
      <c r="A5" s="10" t="inlineStr">
        <is>
          <t>RW-260723-084853</t>
        </is>
      </c>
      <c r="B5" s="10" t="n">
        <v>223791</v>
      </c>
      <c r="C5" s="10" t="inlineStr">
        <is>
          <t>No</t>
        </is>
      </c>
      <c r="D5" s="10" t="inlineStr">
        <is>
          <t>15</t>
        </is>
      </c>
      <c r="E5" s="10" t="inlineStr">
        <is>
          <t>Option 1</t>
        </is>
      </c>
      <c r="F5" s="10" t="n">
        <v>14889.07</v>
      </c>
      <c r="G5" s="10" t="n">
        <v>5653.51</v>
      </c>
      <c r="H5" s="10" t="n">
        <v>9235.559999999999</v>
      </c>
      <c r="I5" s="10" t="n">
        <v>163.4</v>
      </c>
      <c r="J5" s="10" t="n">
        <v>9147.889999999999</v>
      </c>
      <c r="K5" s="10" t="n">
        <v>3154.83</v>
      </c>
      <c r="L5" s="10" t="n">
        <v>190</v>
      </c>
      <c r="M5" s="11" t="inlineStr">
        <is>
          <t>FAIL</t>
        </is>
      </c>
      <c r="N5" s="15" t="inlineStr">
        <is>
          <t>Same eggcrate anomaly ($7,840 vs $648). SPOT prices qty 8 HIGHER than qty 15 — inverted, confirms something is wrong in that component.</t>
        </is>
      </c>
    </row>
    <row r="6" ht="55" customHeight="1">
      <c r="A6" s="10" t="inlineStr">
        <is>
          <t>RW-260720-082503</t>
        </is>
      </c>
      <c r="B6" s="10" t="n">
        <v>223583</v>
      </c>
      <c r="C6" s="10" t="inlineStr">
        <is>
          <t>Yes</t>
        </is>
      </c>
      <c r="D6" s="10" t="inlineStr">
        <is>
          <t>918+1750</t>
        </is>
      </c>
      <c r="E6" s="10" t="inlineStr">
        <is>
          <t>Option 1 (kit)</t>
        </is>
      </c>
      <c r="F6" s="10" t="n">
        <v>9023.129999999999</v>
      </c>
      <c r="G6" s="10" t="n">
        <v>16354.54</v>
      </c>
      <c r="H6" s="10" t="n">
        <v>-7331.41</v>
      </c>
      <c r="I6" s="10" t="n">
        <v>-44.8</v>
      </c>
      <c r="J6" s="10" t="n">
        <v>6165.28</v>
      </c>
      <c r="K6" s="10" t="n">
        <v>9837.790000000001</v>
      </c>
      <c r="L6" s="10" t="n">
        <v>-37.3</v>
      </c>
      <c r="M6" s="11" t="inlineStr">
        <is>
          <t>FAIL</t>
        </is>
      </c>
      <c r="N6" s="15" t="inlineStr">
        <is>
          <t>Modeling mismatch: SPOT priced ONE header at 2 qty tiers; iQuote priced TWO distinct products (222300 + 222301) as a kit. BECAME A JOB at iQuote's $16,354 — verify the SPOT estimate captured both items before treating as engine error.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</cols>
  <sheetData>
    <row r="1">
      <c r="A1" s="1" t="inlineStr">
        <is>
          <t>Decision Charts (outliers excluded)</t>
        </is>
      </c>
    </row>
    <row r="4">
      <c r="A4" s="16" t="inlineStr">
        <is>
          <t>Bin</t>
        </is>
      </c>
      <c r="B4" t="inlineStr">
        <is>
          <t>Quotes</t>
        </is>
      </c>
    </row>
    <row r="5">
      <c r="A5" t="inlineStr">
        <is>
          <t>&lt; -30%</t>
        </is>
      </c>
      <c r="B5" t="n">
        <v>2</v>
      </c>
    </row>
    <row r="6">
      <c r="A6" t="inlineStr">
        <is>
          <t>-30 to -20%</t>
        </is>
      </c>
      <c r="B6" t="n">
        <v>1</v>
      </c>
    </row>
    <row r="7">
      <c r="A7" t="inlineStr">
        <is>
          <t>-20 to -10%</t>
        </is>
      </c>
      <c r="B7" t="n">
        <v>3</v>
      </c>
    </row>
    <row r="8">
      <c r="A8" t="inlineStr">
        <is>
          <t>-10 to 0%</t>
        </is>
      </c>
      <c r="B8" t="n">
        <v>8</v>
      </c>
    </row>
    <row r="9">
      <c r="A9" t="inlineStr">
        <is>
          <t>0 to +10%</t>
        </is>
      </c>
      <c r="B9" t="n">
        <v>6</v>
      </c>
    </row>
    <row r="10">
      <c r="A10" t="inlineStr">
        <is>
          <t>+10 to +20%</t>
        </is>
      </c>
      <c r="B10" t="n">
        <v>9</v>
      </c>
    </row>
    <row r="11">
      <c r="A11" t="inlineStr">
        <is>
          <t>+20 to +30%</t>
        </is>
      </c>
      <c r="B11" t="n">
        <v>8</v>
      </c>
    </row>
    <row r="12">
      <c r="A12" t="inlineStr">
        <is>
          <t>+30 to +50%</t>
        </is>
      </c>
      <c r="B12" t="n">
        <v>5</v>
      </c>
    </row>
    <row r="13">
      <c r="A13" t="inlineStr">
        <is>
          <t>&gt; +50%</t>
        </is>
      </c>
      <c r="B13" t="n">
        <v>4</v>
      </c>
    </row>
    <row r="16">
      <c r="A16" s="16" t="inlineStr">
        <is>
          <t>iQuote Sell $</t>
        </is>
      </c>
      <c r="B16" t="inlineStr">
        <is>
          <t>SPOT Sell $</t>
        </is>
      </c>
    </row>
    <row r="17">
      <c r="A17" t="n">
        <v>241.9</v>
      </c>
      <c r="B17" t="n">
        <v>453.63</v>
      </c>
      <c r="C17" t="n">
        <v>0</v>
      </c>
      <c r="D17" t="n">
        <v>0</v>
      </c>
    </row>
    <row r="18">
      <c r="A18" t="n">
        <v>1079.65</v>
      </c>
      <c r="B18" t="n">
        <v>1905.9</v>
      </c>
      <c r="C18" t="n">
        <v>40873</v>
      </c>
      <c r="D18" t="n">
        <v>40873</v>
      </c>
    </row>
    <row r="19">
      <c r="A19" t="n">
        <v>1803.46</v>
      </c>
      <c r="B19" t="n">
        <v>2859.44</v>
      </c>
    </row>
    <row r="20">
      <c r="A20" t="n">
        <v>724.2</v>
      </c>
      <c r="B20" t="n">
        <v>1120.73</v>
      </c>
    </row>
    <row r="21">
      <c r="A21" t="n">
        <v>2279.73</v>
      </c>
      <c r="B21" t="n">
        <v>3416.08</v>
      </c>
    </row>
    <row r="22">
      <c r="A22" t="n">
        <v>906.92</v>
      </c>
      <c r="B22" t="n">
        <v>1331.14</v>
      </c>
    </row>
    <row r="23">
      <c r="A23" t="n">
        <v>724.2</v>
      </c>
      <c r="B23" t="n">
        <v>1050.73</v>
      </c>
    </row>
    <row r="24">
      <c r="A24" t="n">
        <v>1221.28</v>
      </c>
      <c r="B24" t="n">
        <v>1668.47</v>
      </c>
    </row>
    <row r="25">
      <c r="A25" t="n">
        <v>5528.87</v>
      </c>
      <c r="B25" t="n">
        <v>3661.24</v>
      </c>
    </row>
    <row r="26">
      <c r="A26" t="n">
        <v>4029.71</v>
      </c>
      <c r="B26" t="n">
        <v>2768.73</v>
      </c>
    </row>
    <row r="27">
      <c r="A27" t="n">
        <v>985.09</v>
      </c>
      <c r="B27" t="n">
        <v>1288.67</v>
      </c>
    </row>
    <row r="28">
      <c r="A28" t="n">
        <v>8118.47</v>
      </c>
      <c r="B28" t="n">
        <v>5763.82</v>
      </c>
    </row>
    <row r="29">
      <c r="A29" t="n">
        <v>985.09</v>
      </c>
      <c r="B29" t="n">
        <v>1259.41</v>
      </c>
    </row>
    <row r="30">
      <c r="A30" t="n">
        <v>1168.02</v>
      </c>
      <c r="B30" t="n">
        <v>1478.65</v>
      </c>
    </row>
    <row r="31">
      <c r="A31" t="n">
        <v>1387.27</v>
      </c>
      <c r="B31" t="n">
        <v>1753.9</v>
      </c>
    </row>
    <row r="32">
      <c r="A32" t="n">
        <v>1548.37</v>
      </c>
      <c r="B32" t="n">
        <v>1952.9</v>
      </c>
    </row>
    <row r="33">
      <c r="A33" t="n">
        <v>958.6</v>
      </c>
      <c r="B33" t="n">
        <v>1208.46</v>
      </c>
    </row>
    <row r="34">
      <c r="A34" t="n">
        <v>157.17</v>
      </c>
      <c r="B34" t="n">
        <v>194.89</v>
      </c>
    </row>
    <row r="35">
      <c r="A35" t="n">
        <v>3134.12</v>
      </c>
      <c r="B35" t="n">
        <v>3798.03</v>
      </c>
    </row>
    <row r="36">
      <c r="A36" t="n">
        <v>818.97</v>
      </c>
      <c r="B36" t="n">
        <v>991.12</v>
      </c>
    </row>
    <row r="37">
      <c r="A37" t="n">
        <v>1003.06</v>
      </c>
      <c r="B37" t="n">
        <v>1183.59</v>
      </c>
    </row>
    <row r="38">
      <c r="A38" t="n">
        <v>4904.67</v>
      </c>
      <c r="B38" t="n">
        <v>5753.95</v>
      </c>
    </row>
    <row r="39">
      <c r="A39" t="n">
        <v>2570.16</v>
      </c>
      <c r="B39" t="n">
        <v>3006.89</v>
      </c>
    </row>
    <row r="40">
      <c r="A40" t="n">
        <v>2931.56</v>
      </c>
      <c r="B40" t="n">
        <v>3418.16</v>
      </c>
    </row>
    <row r="41">
      <c r="A41" t="n">
        <v>40873.15</v>
      </c>
      <c r="B41" t="n">
        <v>34381.73</v>
      </c>
    </row>
    <row r="42">
      <c r="A42" t="n">
        <v>2749.42</v>
      </c>
      <c r="B42" t="n">
        <v>3176.43</v>
      </c>
    </row>
    <row r="43">
      <c r="A43" t="n">
        <v>9166.92</v>
      </c>
      <c r="B43" t="n">
        <v>7744.83</v>
      </c>
    </row>
    <row r="44">
      <c r="A44" t="n">
        <v>5894.43</v>
      </c>
      <c r="B44" t="n">
        <v>4996.39</v>
      </c>
    </row>
    <row r="45">
      <c r="A45" t="n">
        <v>2142.17</v>
      </c>
      <c r="B45" t="n">
        <v>2449.07</v>
      </c>
    </row>
    <row r="46">
      <c r="A46" t="n">
        <v>3134.12</v>
      </c>
      <c r="B46" t="n">
        <v>3515.4</v>
      </c>
    </row>
    <row r="47">
      <c r="A47" t="n">
        <v>2749.42</v>
      </c>
      <c r="B47" t="n">
        <v>3071.43</v>
      </c>
    </row>
    <row r="48">
      <c r="A48" t="n">
        <v>1230.77</v>
      </c>
      <c r="B48" t="n">
        <v>1361.8</v>
      </c>
    </row>
    <row r="49">
      <c r="A49" t="n">
        <v>9299.35</v>
      </c>
      <c r="B49" t="n">
        <v>8481.110000000001</v>
      </c>
    </row>
    <row r="50">
      <c r="A50" t="n">
        <v>2452.48</v>
      </c>
      <c r="B50" t="n">
        <v>2634.69</v>
      </c>
    </row>
    <row r="51">
      <c r="A51" t="n">
        <v>7577.35</v>
      </c>
      <c r="B51" t="n">
        <v>8044.68</v>
      </c>
    </row>
    <row r="52">
      <c r="A52" t="n">
        <v>14908.08</v>
      </c>
      <c r="B52" t="n">
        <v>14000.47</v>
      </c>
    </row>
    <row r="53">
      <c r="A53" t="n">
        <v>2031.1</v>
      </c>
      <c r="B53" t="n">
        <v>1915.76</v>
      </c>
    </row>
    <row r="54">
      <c r="A54" t="n">
        <v>6164.32</v>
      </c>
      <c r="B54" t="n">
        <v>5824.4</v>
      </c>
    </row>
    <row r="55">
      <c r="A55" t="n">
        <v>1826.19</v>
      </c>
      <c r="B55" t="n">
        <v>1752.51</v>
      </c>
    </row>
    <row r="56">
      <c r="A56" t="n">
        <v>3463.91</v>
      </c>
      <c r="B56" t="n">
        <v>3337.89</v>
      </c>
    </row>
    <row r="57">
      <c r="A57" t="n">
        <v>6549.08</v>
      </c>
      <c r="B57" t="n">
        <v>6773.57</v>
      </c>
    </row>
    <row r="58">
      <c r="A58" t="n">
        <v>1517.07</v>
      </c>
      <c r="B58" t="n">
        <v>1565.74</v>
      </c>
    </row>
    <row r="59">
      <c r="A59" t="n">
        <v>248.28</v>
      </c>
      <c r="B59" t="n">
        <v>255.63</v>
      </c>
    </row>
    <row r="60">
      <c r="A60" t="n">
        <v>6766.74</v>
      </c>
      <c r="B60" t="n">
        <v>6591.82</v>
      </c>
    </row>
    <row r="61">
      <c r="A61" t="n">
        <v>9322.530000000001</v>
      </c>
      <c r="B61" t="n">
        <v>9144.15</v>
      </c>
    </row>
    <row r="62">
      <c r="A62" t="n">
        <v>130.54</v>
      </c>
      <c r="B62" t="n">
        <v>132.39</v>
      </c>
    </row>
    <row r="65">
      <c r="A65" s="16" t="inlineStr">
        <is>
          <t>Qty bucket</t>
        </is>
      </c>
      <c r="B65" t="inlineStr">
        <is>
          <t>Median Sell Delta %</t>
        </is>
      </c>
    </row>
    <row r="66">
      <c r="A66" t="inlineStr">
        <is>
          <t>&lt;= 50</t>
        </is>
      </c>
      <c r="B66" t="n">
        <v>45.9</v>
      </c>
    </row>
    <row r="67">
      <c r="A67" t="inlineStr">
        <is>
          <t>51-250</t>
        </is>
      </c>
      <c r="B67" t="n">
        <v>10.6</v>
      </c>
    </row>
    <row r="68">
      <c r="A68" t="inlineStr">
        <is>
          <t>251-600</t>
        </is>
      </c>
      <c r="B68" t="n">
        <v>16.6</v>
      </c>
    </row>
    <row r="69">
      <c r="A69" t="inlineStr">
        <is>
          <t>&gt; 600</t>
        </is>
      </c>
      <c r="B69" t="n">
        <v>-2.8</v>
      </c>
    </row>
    <row r="72">
      <c r="A72" s="16" t="inlineStr">
        <is>
          <t>Category</t>
        </is>
      </c>
      <c r="B72" t="inlineStr">
        <is>
          <t>SPOT $</t>
        </is>
      </c>
      <c r="C72" t="inlineStr">
        <is>
          <t>iQuote $</t>
        </is>
      </c>
    </row>
    <row r="73">
      <c r="A73" t="inlineStr">
        <is>
          <t>Material</t>
        </is>
      </c>
      <c r="B73" t="n">
        <v>38969.63</v>
      </c>
      <c r="C73" t="n">
        <v>40430.19</v>
      </c>
    </row>
    <row r="74">
      <c r="A74" t="inlineStr">
        <is>
          <t>Print</t>
        </is>
      </c>
      <c r="B74" t="n">
        <v>50056.86</v>
      </c>
      <c r="C74" t="n">
        <v>33907.21</v>
      </c>
    </row>
    <row r="75">
      <c r="A75" t="inlineStr">
        <is>
          <t>Cutting</t>
        </is>
      </c>
      <c r="B75" t="n">
        <v>23110.25</v>
      </c>
      <c r="C75" t="n">
        <v>25358.27</v>
      </c>
    </row>
    <row r="76">
      <c r="A76" t="inlineStr">
        <is>
          <t>Strip</t>
        </is>
      </c>
      <c r="B76" t="n">
        <v>2750.88</v>
      </c>
      <c r="C76" t="n">
        <v>4636.16</v>
      </c>
    </row>
    <row r="77">
      <c r="A77" t="inlineStr">
        <is>
          <t>Glue</t>
        </is>
      </c>
      <c r="B77" t="n">
        <v>3632.87</v>
      </c>
      <c r="C77" t="n">
        <v>2148</v>
      </c>
    </row>
    <row r="78">
      <c r="A78" t="inlineStr">
        <is>
          <t>Freight</t>
        </is>
      </c>
      <c r="B78" t="n">
        <v>5972.88</v>
      </c>
      <c r="C78" t="n">
        <v>6160.63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40" customWidth="1" min="9" max="9"/>
  </cols>
  <sheetData>
    <row r="1">
      <c r="A1" s="1" t="inlineStr">
        <is>
          <t>Three-Way: iQuote estimate vs SPOT estimate vs ACTUAL job cost (9 produced jobs)</t>
        </is>
      </c>
    </row>
    <row r="2" ht="40" customHeight="1">
      <c r="A2" s="2" t="inlineStr">
        <is>
          <t>Ground-truth check. Per-category comparison uses identical category definitions on all three sides. DIRECT TOTAL = Material+Print+Cutting+Hand (freight excluded: actuals pull has no freight; die shown separately). Caveats: small sample; actuals may include overs/rework; hand-labor actuals are $0 on every job (likely absorbed elsewhere in MIS costing).</t>
        </is>
      </c>
    </row>
    <row r="4">
      <c r="A4" s="6" t="inlineStr">
        <is>
          <t>MIS Job</t>
        </is>
      </c>
      <c r="B4" s="6" t="inlineStr">
        <is>
          <t>SPOT Est /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10" t="n">
        <v>236341</v>
      </c>
      <c r="B5" s="10" t="inlineStr">
        <is>
          <t>RW-260623-091031 / 223207</t>
        </is>
      </c>
      <c r="C5" s="10" t="inlineStr">
        <is>
          <t>Material</t>
        </is>
      </c>
      <c r="D5" s="10" t="n">
        <v>267.4</v>
      </c>
      <c r="E5" s="10" t="n">
        <v>309.62</v>
      </c>
      <c r="F5" s="10" t="n">
        <v>320.21</v>
      </c>
      <c r="G5" s="12" t="inlineStr">
        <is>
          <t>-16%</t>
        </is>
      </c>
      <c r="H5" s="13" t="inlineStr">
        <is>
          <t>-3%</t>
        </is>
      </c>
      <c r="I5" s="10" t="inlineStr">
        <is>
          <t>Job ran DIE CUT; SPOT quoted CAD route</t>
        </is>
      </c>
    </row>
    <row r="6">
      <c r="A6" s="10" t="inlineStr"/>
      <c r="B6" s="10" t="inlineStr"/>
      <c r="C6" s="10" t="inlineStr">
        <is>
          <t>Print</t>
        </is>
      </c>
      <c r="D6" s="10" t="n">
        <v>367.63</v>
      </c>
      <c r="E6" s="10" t="n">
        <v>218.57</v>
      </c>
      <c r="F6" s="10" t="n">
        <v>224.65</v>
      </c>
      <c r="G6" s="11" t="inlineStr">
        <is>
          <t>+64%</t>
        </is>
      </c>
      <c r="H6" s="13" t="inlineStr">
        <is>
          <t>-3%</t>
        </is>
      </c>
      <c r="I6" s="10" t="inlineStr"/>
    </row>
    <row r="7">
      <c r="A7" s="10" t="inlineStr"/>
      <c r="B7" s="10" t="inlineStr"/>
      <c r="C7" s="10" t="inlineStr">
        <is>
          <t>Cutting</t>
        </is>
      </c>
      <c r="D7" s="10" t="n">
        <v>407.8</v>
      </c>
      <c r="E7" s="10" t="n">
        <v>418.1</v>
      </c>
      <c r="F7" s="10" t="n">
        <v>526.88</v>
      </c>
      <c r="G7" s="12" t="inlineStr">
        <is>
          <t>-23%</t>
        </is>
      </c>
      <c r="H7" s="12" t="inlineStr">
        <is>
          <t>-21%</t>
        </is>
      </c>
      <c r="I7" s="10" t="inlineStr"/>
    </row>
    <row r="8">
      <c r="A8" s="10" t="inlineStr"/>
      <c r="B8" s="10" t="inlineStr"/>
      <c r="C8" s="10" t="inlineStr">
        <is>
          <t>Hand</t>
        </is>
      </c>
      <c r="D8" s="10" t="n">
        <v>29.75</v>
      </c>
      <c r="E8" s="10" t="n">
        <v>56.12</v>
      </c>
      <c r="F8" s="10" t="n">
        <v>0</v>
      </c>
      <c r="G8" s="10" t="inlineStr">
        <is>
          <t>n/a</t>
        </is>
      </c>
      <c r="H8" s="10" t="inlineStr">
        <is>
          <t>n/a</t>
        </is>
      </c>
      <c r="I8" s="10" t="inlineStr"/>
    </row>
    <row r="9">
      <c r="A9" s="10" t="inlineStr"/>
      <c r="B9" s="10" t="inlineStr"/>
      <c r="C9" s="10" t="inlineStr">
        <is>
          <t>Die</t>
        </is>
      </c>
      <c r="D9" s="10" t="n">
        <v>0</v>
      </c>
      <c r="E9" s="10" t="n">
        <v>0</v>
      </c>
      <c r="F9" s="10" t="n">
        <v>1205</v>
      </c>
      <c r="G9" s="11" t="inlineStr">
        <is>
          <t>-100%</t>
        </is>
      </c>
      <c r="H9" s="11" t="inlineStr">
        <is>
          <t>-100%</t>
        </is>
      </c>
      <c r="I9" s="10" t="inlineStr"/>
    </row>
    <row r="10">
      <c r="A10" s="17" t="inlineStr"/>
      <c r="B10" s="17" t="inlineStr"/>
      <c r="C10" s="17" t="inlineStr">
        <is>
          <t>DIRECT TOTAL</t>
        </is>
      </c>
      <c r="D10" s="17" t="n">
        <v>1072.58</v>
      </c>
      <c r="E10" s="17" t="n">
        <v>1002.41</v>
      </c>
      <c r="F10" s="17" t="n">
        <v>1071.74</v>
      </c>
      <c r="G10" s="18" t="inlineStr">
        <is>
          <t>+0%</t>
        </is>
      </c>
      <c r="H10" s="18" t="inlineStr">
        <is>
          <t>-6%</t>
        </is>
      </c>
      <c r="I10" s="17" t="inlineStr"/>
    </row>
    <row r="12">
      <c r="A12" s="10" t="n">
        <v>236355</v>
      </c>
      <c r="B12" s="10" t="inlineStr">
        <is>
          <t>RW-260727-080830 / 223209</t>
        </is>
      </c>
      <c r="C12" s="10" t="inlineStr">
        <is>
          <t>Material</t>
        </is>
      </c>
      <c r="D12" s="10" t="n">
        <v>37.42</v>
      </c>
      <c r="E12" s="10" t="n">
        <v>21.81</v>
      </c>
      <c r="F12" s="10" t="n">
        <v>10</v>
      </c>
      <c r="G12" s="11" t="inlineStr">
        <is>
          <t>+274%</t>
        </is>
      </c>
      <c r="H12" s="11" t="inlineStr">
        <is>
          <t>+118%</t>
        </is>
      </c>
      <c r="I12" s="10" t="inlineStr"/>
    </row>
    <row r="13">
      <c r="A13" s="10" t="inlineStr"/>
      <c r="B13" s="10" t="inlineStr"/>
      <c r="C13" s="10" t="inlineStr">
        <is>
          <t>Print</t>
        </is>
      </c>
      <c r="D13" s="10" t="n">
        <v>60.27</v>
      </c>
      <c r="E13" s="10" t="n">
        <v>64.20999999999999</v>
      </c>
      <c r="F13" s="10" t="n">
        <v>142.18</v>
      </c>
      <c r="G13" s="11" t="inlineStr">
        <is>
          <t>-58%</t>
        </is>
      </c>
      <c r="H13" s="11" t="inlineStr">
        <is>
          <t>-55%</t>
        </is>
      </c>
      <c r="I13" s="10" t="inlineStr"/>
    </row>
    <row r="14">
      <c r="A14" s="10" t="inlineStr"/>
      <c r="B14" s="10" t="inlineStr"/>
      <c r="C14" s="10" t="inlineStr">
        <is>
          <t>Cutting</t>
        </is>
      </c>
      <c r="D14" s="10" t="n">
        <v>55.2</v>
      </c>
      <c r="E14" s="10" t="n">
        <v>36.66</v>
      </c>
      <c r="F14" s="10" t="n">
        <v>41.61</v>
      </c>
      <c r="G14" s="11" t="inlineStr">
        <is>
          <t>+33%</t>
        </is>
      </c>
      <c r="H14" s="13" t="inlineStr">
        <is>
          <t>-12%</t>
        </is>
      </c>
      <c r="I14" s="10" t="inlineStr"/>
    </row>
    <row r="15">
      <c r="A15" s="10" t="inlineStr"/>
      <c r="B15" s="10" t="inlineStr"/>
      <c r="C15" s="10" t="inlineStr">
        <is>
          <t>Hand</t>
        </is>
      </c>
      <c r="D15" s="10" t="n">
        <v>1.43</v>
      </c>
      <c r="E15" s="10" t="n">
        <v>0</v>
      </c>
      <c r="F15" s="10" t="n">
        <v>0</v>
      </c>
      <c r="G15" s="10" t="inlineStr">
        <is>
          <t>n/a</t>
        </is>
      </c>
      <c r="H15" s="10" t="inlineStr">
        <is>
          <t>n/a</t>
        </is>
      </c>
      <c r="I15" s="10" t="inlineStr"/>
    </row>
    <row r="16">
      <c r="A16" s="10" t="inlineStr"/>
      <c r="B16" s="10" t="inlineStr"/>
      <c r="C16" s="10" t="inlineStr">
        <is>
          <t>Die</t>
        </is>
      </c>
      <c r="D16" s="10" t="n">
        <v>0</v>
      </c>
      <c r="E16" s="10" t="n">
        <v>0</v>
      </c>
      <c r="F16" s="10" t="n">
        <v>0</v>
      </c>
      <c r="G16" s="10" t="inlineStr">
        <is>
          <t>n/a</t>
        </is>
      </c>
      <c r="H16" s="10" t="inlineStr">
        <is>
          <t>n/a</t>
        </is>
      </c>
      <c r="I16" s="10" t="inlineStr"/>
    </row>
    <row r="17">
      <c r="A17" s="17" t="inlineStr"/>
      <c r="B17" s="17" t="inlineStr"/>
      <c r="C17" s="17" t="inlineStr">
        <is>
          <t>DIRECT TOTAL</t>
        </is>
      </c>
      <c r="D17" s="17" t="n">
        <v>154.32</v>
      </c>
      <c r="E17" s="17" t="n">
        <v>122.68</v>
      </c>
      <c r="F17" s="17" t="n">
        <v>193.79</v>
      </c>
      <c r="G17" s="19" t="inlineStr">
        <is>
          <t>-20%</t>
        </is>
      </c>
      <c r="H17" s="20" t="inlineStr">
        <is>
          <t>-37%</t>
        </is>
      </c>
      <c r="I17" s="17" t="inlineStr"/>
    </row>
    <row r="19">
      <c r="A19" s="10" t="n">
        <v>236550</v>
      </c>
      <c r="B19" s="10" t="inlineStr">
        <is>
          <t>RW-260727-102959 / 223393</t>
        </is>
      </c>
      <c r="C19" s="10" t="inlineStr">
        <is>
          <t>Material</t>
        </is>
      </c>
      <c r="D19" s="10" t="n">
        <v>327.76</v>
      </c>
      <c r="E19" s="10" t="n">
        <v>299.23</v>
      </c>
      <c r="F19" s="10" t="n">
        <v>464.78</v>
      </c>
      <c r="G19" s="12" t="inlineStr">
        <is>
          <t>-29%</t>
        </is>
      </c>
      <c r="H19" s="11" t="inlineStr">
        <is>
          <t>-36%</t>
        </is>
      </c>
      <c r="I19" s="10" t="inlineStr"/>
    </row>
    <row r="20">
      <c r="A20" s="10" t="inlineStr"/>
      <c r="B20" s="10" t="inlineStr"/>
      <c r="C20" s="10" t="inlineStr">
        <is>
          <t>Print</t>
        </is>
      </c>
      <c r="D20" s="10" t="n">
        <v>403.5</v>
      </c>
      <c r="E20" s="10" t="n">
        <v>328.32</v>
      </c>
      <c r="F20" s="10" t="n">
        <v>917.23</v>
      </c>
      <c r="G20" s="11" t="inlineStr">
        <is>
          <t>-56%</t>
        </is>
      </c>
      <c r="H20" s="11" t="inlineStr">
        <is>
          <t>-64%</t>
        </is>
      </c>
      <c r="I20" s="10" t="inlineStr"/>
    </row>
    <row r="21">
      <c r="A21" s="10" t="inlineStr"/>
      <c r="B21" s="10" t="inlineStr"/>
      <c r="C21" s="10" t="inlineStr">
        <is>
          <t>Cutting</t>
        </is>
      </c>
      <c r="D21" s="10" t="n">
        <v>225.4</v>
      </c>
      <c r="E21" s="10" t="n">
        <v>104.62</v>
      </c>
      <c r="F21" s="10" t="n">
        <v>248.9</v>
      </c>
      <c r="G21" s="13" t="inlineStr">
        <is>
          <t>-9%</t>
        </is>
      </c>
      <c r="H21" s="11" t="inlineStr">
        <is>
          <t>-58%</t>
        </is>
      </c>
      <c r="I21" s="10" t="inlineStr"/>
    </row>
    <row r="22">
      <c r="A22" s="10" t="inlineStr"/>
      <c r="B22" s="10" t="inlineStr"/>
      <c r="C22" s="10" t="inlineStr">
        <is>
          <t>Hand</t>
        </is>
      </c>
      <c r="D22" s="10" t="n">
        <v>0</v>
      </c>
      <c r="E22" s="10" t="n">
        <v>0</v>
      </c>
      <c r="F22" s="10" t="n">
        <v>0</v>
      </c>
      <c r="G22" s="10" t="inlineStr">
        <is>
          <t>n/a</t>
        </is>
      </c>
      <c r="H22" s="10" t="inlineStr">
        <is>
          <t>n/a</t>
        </is>
      </c>
      <c r="I22" s="10" t="inlineStr"/>
    </row>
    <row r="23">
      <c r="A23" s="10" t="inlineStr"/>
      <c r="B23" s="10" t="inlineStr"/>
      <c r="C23" s="10" t="inlineStr">
        <is>
          <t>Die</t>
        </is>
      </c>
      <c r="D23" s="10" t="n">
        <v>0</v>
      </c>
      <c r="E23" s="10" t="n">
        <v>0</v>
      </c>
      <c r="F23" s="10" t="n">
        <v>0</v>
      </c>
      <c r="G23" s="10" t="inlineStr">
        <is>
          <t>n/a</t>
        </is>
      </c>
      <c r="H23" s="10" t="inlineStr">
        <is>
          <t>n/a</t>
        </is>
      </c>
      <c r="I23" s="10" t="inlineStr"/>
    </row>
    <row r="24">
      <c r="A24" s="17" t="inlineStr"/>
      <c r="B24" s="17" t="inlineStr"/>
      <c r="C24" s="17" t="inlineStr">
        <is>
          <t>DIRECT TOTAL</t>
        </is>
      </c>
      <c r="D24" s="17" t="n">
        <v>956.66</v>
      </c>
      <c r="E24" s="17" t="n">
        <v>732.17</v>
      </c>
      <c r="F24" s="17" t="n">
        <v>1630.91</v>
      </c>
      <c r="G24" s="20" t="inlineStr">
        <is>
          <t>-41%</t>
        </is>
      </c>
      <c r="H24" s="20" t="inlineStr">
        <is>
          <t>-55%</t>
        </is>
      </c>
      <c r="I24" s="17" t="inlineStr"/>
    </row>
    <row r="26">
      <c r="A26" s="10" t="n">
        <v>236688</v>
      </c>
      <c r="B26" s="10" t="inlineStr">
        <is>
          <t>RW-260727-095102 / 223486</t>
        </is>
      </c>
      <c r="C26" s="10" t="inlineStr">
        <is>
          <t>Material</t>
        </is>
      </c>
      <c r="D26" s="10" t="n">
        <v>30.57</v>
      </c>
      <c r="E26" s="10" t="n">
        <v>32.71</v>
      </c>
      <c r="F26" s="10" t="n">
        <v>52.35</v>
      </c>
      <c r="G26" s="11" t="inlineStr">
        <is>
          <t>-42%</t>
        </is>
      </c>
      <c r="H26" s="11" t="inlineStr">
        <is>
          <t>-38%</t>
        </is>
      </c>
      <c r="I26" s="10" t="inlineStr"/>
    </row>
    <row r="27">
      <c r="A27" s="10" t="inlineStr"/>
      <c r="B27" s="10" t="inlineStr"/>
      <c r="C27" s="10" t="inlineStr">
        <is>
          <t>Print</t>
        </is>
      </c>
      <c r="D27" s="10" t="n">
        <v>0</v>
      </c>
      <c r="E27" s="10" t="n">
        <v>0</v>
      </c>
      <c r="F27" s="10" t="n">
        <v>0</v>
      </c>
      <c r="G27" s="10" t="inlineStr">
        <is>
          <t>n/a</t>
        </is>
      </c>
      <c r="H27" s="10" t="inlineStr">
        <is>
          <t>n/a</t>
        </is>
      </c>
      <c r="I27" s="10" t="inlineStr"/>
    </row>
    <row r="28">
      <c r="A28" s="10" t="inlineStr"/>
      <c r="B28" s="10" t="inlineStr"/>
      <c r="C28" s="10" t="inlineStr">
        <is>
          <t>Cutting</t>
        </is>
      </c>
      <c r="D28" s="10" t="n">
        <v>93.84</v>
      </c>
      <c r="E28" s="10" t="n">
        <v>81.45</v>
      </c>
      <c r="F28" s="10" t="n">
        <v>154.48</v>
      </c>
      <c r="G28" s="11" t="inlineStr">
        <is>
          <t>-39%</t>
        </is>
      </c>
      <c r="H28" s="11" t="inlineStr">
        <is>
          <t>-47%</t>
        </is>
      </c>
      <c r="I28" s="10" t="inlineStr"/>
    </row>
    <row r="29">
      <c r="A29" s="10" t="inlineStr"/>
      <c r="B29" s="10" t="inlineStr"/>
      <c r="C29" s="10" t="inlineStr">
        <is>
          <t>Hand</t>
        </is>
      </c>
      <c r="D29" s="10" t="n">
        <v>3.4</v>
      </c>
      <c r="E29" s="10" t="n">
        <v>0</v>
      </c>
      <c r="F29" s="10" t="n">
        <v>0</v>
      </c>
      <c r="G29" s="10" t="inlineStr">
        <is>
          <t>n/a</t>
        </is>
      </c>
      <c r="H29" s="10" t="inlineStr">
        <is>
          <t>n/a</t>
        </is>
      </c>
      <c r="I29" s="10" t="inlineStr"/>
    </row>
    <row r="30">
      <c r="A30" s="10" t="inlineStr"/>
      <c r="B30" s="10" t="inlineStr"/>
      <c r="C30" s="10" t="inlineStr">
        <is>
          <t>Die</t>
        </is>
      </c>
      <c r="D30" s="10" t="n">
        <v>0</v>
      </c>
      <c r="E30" s="10" t="n">
        <v>0</v>
      </c>
      <c r="F30" s="10" t="n">
        <v>0</v>
      </c>
      <c r="G30" s="10" t="inlineStr">
        <is>
          <t>n/a</t>
        </is>
      </c>
      <c r="H30" s="10" t="inlineStr">
        <is>
          <t>n/a</t>
        </is>
      </c>
      <c r="I30" s="10" t="inlineStr"/>
    </row>
    <row r="31">
      <c r="A31" s="17" t="inlineStr"/>
      <c r="B31" s="17" t="inlineStr"/>
      <c r="C31" s="17" t="inlineStr">
        <is>
          <t>DIRECT TOTAL</t>
        </is>
      </c>
      <c r="D31" s="17" t="n">
        <v>127.81</v>
      </c>
      <c r="E31" s="17" t="n">
        <v>114.16</v>
      </c>
      <c r="F31" s="17" t="n">
        <v>206.83</v>
      </c>
      <c r="G31" s="20" t="inlineStr">
        <is>
          <t>-38%</t>
        </is>
      </c>
      <c r="H31" s="20" t="inlineStr">
        <is>
          <t>-45%</t>
        </is>
      </c>
      <c r="I31" s="17" t="inlineStr"/>
    </row>
    <row r="33">
      <c r="A33" s="10" t="n">
        <v>236802</v>
      </c>
      <c r="B33" s="10" t="inlineStr">
        <is>
          <t>RW-260727-101129 / 223454</t>
        </is>
      </c>
      <c r="C33" s="10" t="inlineStr">
        <is>
          <t>Material</t>
        </is>
      </c>
      <c r="D33" s="10" t="n">
        <v>1479.09</v>
      </c>
      <c r="E33" s="10" t="n">
        <v>1507.88</v>
      </c>
      <c r="F33" s="10" t="n">
        <v>1053.17</v>
      </c>
      <c r="G33" s="11" t="inlineStr">
        <is>
          <t>+40%</t>
        </is>
      </c>
      <c r="H33" s="11" t="inlineStr">
        <is>
          <t>+43%</t>
        </is>
      </c>
      <c r="I33" s="10" t="inlineStr"/>
    </row>
    <row r="34">
      <c r="A34" s="10" t="inlineStr"/>
      <c r="B34" s="10" t="inlineStr"/>
      <c r="C34" s="10" t="inlineStr">
        <is>
          <t>Print</t>
        </is>
      </c>
      <c r="D34" s="10" t="n">
        <v>2062.33</v>
      </c>
      <c r="E34" s="10" t="n">
        <v>1187.25</v>
      </c>
      <c r="F34" s="10" t="n">
        <v>1673.66</v>
      </c>
      <c r="G34" s="12" t="inlineStr">
        <is>
          <t>+23%</t>
        </is>
      </c>
      <c r="H34" s="12" t="inlineStr">
        <is>
          <t>-29%</t>
        </is>
      </c>
      <c r="I34" s="10" t="inlineStr"/>
    </row>
    <row r="35">
      <c r="A35" s="10" t="inlineStr"/>
      <c r="B35" s="10" t="inlineStr"/>
      <c r="C35" s="10" t="inlineStr">
        <is>
          <t>Cutting</t>
        </is>
      </c>
      <c r="D35" s="10" t="n">
        <v>423.38</v>
      </c>
      <c r="E35" s="10" t="n">
        <v>402.2</v>
      </c>
      <c r="F35" s="10" t="n">
        <v>839.0700000000001</v>
      </c>
      <c r="G35" s="11" t="inlineStr">
        <is>
          <t>-50%</t>
        </is>
      </c>
      <c r="H35" s="11" t="inlineStr">
        <is>
          <t>-52%</t>
        </is>
      </c>
      <c r="I35" s="10" t="inlineStr"/>
    </row>
    <row r="36">
      <c r="A36" s="10" t="inlineStr"/>
      <c r="B36" s="10" t="inlineStr"/>
      <c r="C36" s="10" t="inlineStr">
        <is>
          <t>Hand</t>
        </is>
      </c>
      <c r="D36" s="10" t="n">
        <v>313.5</v>
      </c>
      <c r="E36" s="10" t="n">
        <v>49.09</v>
      </c>
      <c r="F36" s="10" t="n">
        <v>0</v>
      </c>
      <c r="G36" s="10" t="inlineStr">
        <is>
          <t>n/a</t>
        </is>
      </c>
      <c r="H36" s="10" t="inlineStr">
        <is>
          <t>n/a</t>
        </is>
      </c>
      <c r="I36" s="10" t="inlineStr"/>
    </row>
    <row r="37">
      <c r="A37" s="10" t="inlineStr"/>
      <c r="B37" s="10" t="inlineStr"/>
      <c r="C37" s="10" t="inlineStr">
        <is>
          <t>Die</t>
        </is>
      </c>
      <c r="D37" s="10" t="n">
        <v>1380</v>
      </c>
      <c r="E37" s="10" t="n">
        <v>0</v>
      </c>
      <c r="F37" s="10" t="n">
        <v>1293</v>
      </c>
      <c r="G37" s="13" t="inlineStr">
        <is>
          <t>+7%</t>
        </is>
      </c>
      <c r="H37" s="11" t="inlineStr">
        <is>
          <t>-100%</t>
        </is>
      </c>
      <c r="I37" s="10" t="inlineStr"/>
    </row>
    <row r="38">
      <c r="A38" s="17" t="inlineStr"/>
      <c r="B38" s="17" t="inlineStr"/>
      <c r="C38" s="17" t="inlineStr">
        <is>
          <t>DIRECT TOTAL</t>
        </is>
      </c>
      <c r="D38" s="17" t="n">
        <v>4278.3</v>
      </c>
      <c r="E38" s="17" t="n">
        <v>3146.43</v>
      </c>
      <c r="F38" s="17" t="n">
        <v>3565.9</v>
      </c>
      <c r="G38" s="19" t="inlineStr">
        <is>
          <t>+20%</t>
        </is>
      </c>
      <c r="H38" s="18" t="inlineStr">
        <is>
          <t>-12%</t>
        </is>
      </c>
      <c r="I38" s="17" t="inlineStr"/>
    </row>
    <row r="40">
      <c r="A40" s="10" t="n">
        <v>236822</v>
      </c>
      <c r="B40" s="10" t="inlineStr">
        <is>
          <t>RW-260727-144121 / 223575</t>
        </is>
      </c>
      <c r="C40" s="10" t="inlineStr">
        <is>
          <t>Material</t>
        </is>
      </c>
      <c r="D40" s="10" t="n">
        <v>161.77</v>
      </c>
      <c r="E40" s="10" t="n">
        <v>159.99</v>
      </c>
      <c r="F40" s="10" t="n">
        <v>143.33</v>
      </c>
      <c r="G40" s="13" t="inlineStr">
        <is>
          <t>+13%</t>
        </is>
      </c>
      <c r="H40" s="13" t="inlineStr">
        <is>
          <t>+12%</t>
        </is>
      </c>
      <c r="I40" s="10" t="inlineStr"/>
    </row>
    <row r="41">
      <c r="A41" s="10" t="inlineStr"/>
      <c r="B41" s="10" t="inlineStr"/>
      <c r="C41" s="10" t="inlineStr">
        <is>
          <t>Print</t>
        </is>
      </c>
      <c r="D41" s="10" t="n">
        <v>206.23</v>
      </c>
      <c r="E41" s="10" t="n">
        <v>127.61</v>
      </c>
      <c r="F41" s="10" t="n">
        <v>636.61</v>
      </c>
      <c r="G41" s="11" t="inlineStr">
        <is>
          <t>-68%</t>
        </is>
      </c>
      <c r="H41" s="11" t="inlineStr">
        <is>
          <t>-80%</t>
        </is>
      </c>
      <c r="I41" s="10" t="inlineStr"/>
    </row>
    <row r="42">
      <c r="A42" s="10" t="inlineStr"/>
      <c r="B42" s="10" t="inlineStr"/>
      <c r="C42" s="10" t="inlineStr">
        <is>
          <t>Cutting</t>
        </is>
      </c>
      <c r="D42" s="10" t="n">
        <v>189.2</v>
      </c>
      <c r="E42" s="10" t="n">
        <v>200.02</v>
      </c>
      <c r="F42" s="10" t="n">
        <v>146.48</v>
      </c>
      <c r="G42" s="12" t="inlineStr">
        <is>
          <t>+29%</t>
        </is>
      </c>
      <c r="H42" s="11" t="inlineStr">
        <is>
          <t>+37%</t>
        </is>
      </c>
      <c r="I42" s="10" t="inlineStr"/>
    </row>
    <row r="43">
      <c r="A43" s="10" t="inlineStr"/>
      <c r="B43" s="10" t="inlineStr"/>
      <c r="C43" s="10" t="inlineStr">
        <is>
          <t>Hand</t>
        </is>
      </c>
      <c r="D43" s="10" t="n">
        <v>0</v>
      </c>
      <c r="E43" s="10" t="n">
        <v>0</v>
      </c>
      <c r="F43" s="10" t="n">
        <v>0</v>
      </c>
      <c r="G43" s="10" t="inlineStr">
        <is>
          <t>n/a</t>
        </is>
      </c>
      <c r="H43" s="10" t="inlineStr">
        <is>
          <t>n/a</t>
        </is>
      </c>
      <c r="I43" s="10" t="inlineStr"/>
    </row>
    <row r="44">
      <c r="A44" s="10" t="inlineStr"/>
      <c r="B44" s="10" t="inlineStr"/>
      <c r="C44" s="10" t="inlineStr">
        <is>
          <t>Die</t>
        </is>
      </c>
      <c r="D44" s="10" t="n">
        <v>0</v>
      </c>
      <c r="E44" s="10" t="n">
        <v>0</v>
      </c>
      <c r="F44" s="10" t="n">
        <v>0</v>
      </c>
      <c r="G44" s="10" t="inlineStr">
        <is>
          <t>n/a</t>
        </is>
      </c>
      <c r="H44" s="10" t="inlineStr">
        <is>
          <t>n/a</t>
        </is>
      </c>
      <c r="I44" s="10" t="inlineStr"/>
    </row>
    <row r="45">
      <c r="A45" s="17" t="inlineStr"/>
      <c r="B45" s="17" t="inlineStr"/>
      <c r="C45" s="17" t="inlineStr">
        <is>
          <t>DIRECT TOTAL</t>
        </is>
      </c>
      <c r="D45" s="17" t="n">
        <v>557.2</v>
      </c>
      <c r="E45" s="17" t="n">
        <v>487.62</v>
      </c>
      <c r="F45" s="17" t="n">
        <v>926.42</v>
      </c>
      <c r="G45" s="20" t="inlineStr">
        <is>
          <t>-40%</t>
        </is>
      </c>
      <c r="H45" s="20" t="inlineStr">
        <is>
          <t>-47%</t>
        </is>
      </c>
      <c r="I45" s="17" t="inlineStr"/>
    </row>
    <row r="47">
      <c r="A47" s="10" t="n">
        <v>236943</v>
      </c>
      <c r="B47" s="10" t="inlineStr">
        <is>
          <t>RW-260722-082345 / 223591</t>
        </is>
      </c>
      <c r="C47" s="10" t="inlineStr">
        <is>
          <t>Material</t>
        </is>
      </c>
      <c r="D47" s="10" t="n">
        <v>1841.01</v>
      </c>
      <c r="E47" s="10" t="n">
        <v>794.2</v>
      </c>
      <c r="F47" s="10" t="n">
        <v>2272.71</v>
      </c>
      <c r="G47" s="12" t="inlineStr">
        <is>
          <t>-19%</t>
        </is>
      </c>
      <c r="H47" s="11" t="inlineStr">
        <is>
          <t>-65%</t>
        </is>
      </c>
      <c r="I47" s="10" t="inlineStr">
        <is>
          <t>Sold at CAD-pricing option; SPOT quoted Die route</t>
        </is>
      </c>
    </row>
    <row r="48">
      <c r="A48" s="10" t="inlineStr"/>
      <c r="B48" s="10" t="inlineStr"/>
      <c r="C48" s="10" t="inlineStr">
        <is>
          <t>Print</t>
        </is>
      </c>
      <c r="D48" s="10" t="n">
        <v>2331.33</v>
      </c>
      <c r="E48" s="10" t="n">
        <v>801.39</v>
      </c>
      <c r="F48" s="10" t="n">
        <v>4041.83</v>
      </c>
      <c r="G48" s="11" t="inlineStr">
        <is>
          <t>-42%</t>
        </is>
      </c>
      <c r="H48" s="11" t="inlineStr">
        <is>
          <t>-80%</t>
        </is>
      </c>
      <c r="I48" s="10" t="inlineStr"/>
    </row>
    <row r="49">
      <c r="A49" s="10" t="inlineStr"/>
      <c r="B49" s="10" t="inlineStr"/>
      <c r="C49" s="10" t="inlineStr">
        <is>
          <t>Cutting</t>
        </is>
      </c>
      <c r="D49" s="10" t="n">
        <v>461.58</v>
      </c>
      <c r="E49" s="10" t="n">
        <v>645.5</v>
      </c>
      <c r="F49" s="10" t="n">
        <v>2236.98</v>
      </c>
      <c r="G49" s="11" t="inlineStr">
        <is>
          <t>-79%</t>
        </is>
      </c>
      <c r="H49" s="11" t="inlineStr">
        <is>
          <t>-71%</t>
        </is>
      </c>
      <c r="I49" s="10" t="inlineStr"/>
    </row>
    <row r="50">
      <c r="A50" s="10" t="inlineStr"/>
      <c r="B50" s="10" t="inlineStr"/>
      <c r="C50" s="10" t="inlineStr">
        <is>
          <t>Hand</t>
        </is>
      </c>
      <c r="D50" s="10" t="n">
        <v>356.25</v>
      </c>
      <c r="E50" s="10" t="n">
        <v>135</v>
      </c>
      <c r="F50" s="10" t="n">
        <v>0</v>
      </c>
      <c r="G50" s="10" t="inlineStr">
        <is>
          <t>n/a</t>
        </is>
      </c>
      <c r="H50" s="10" t="inlineStr">
        <is>
          <t>n/a</t>
        </is>
      </c>
      <c r="I50" s="10" t="inlineStr"/>
    </row>
    <row r="51">
      <c r="A51" s="10" t="inlineStr"/>
      <c r="B51" s="10" t="inlineStr"/>
      <c r="C51" s="10" t="inlineStr">
        <is>
          <t>Die</t>
        </is>
      </c>
      <c r="D51" s="10" t="n">
        <v>1380</v>
      </c>
      <c r="E51" s="10" t="n">
        <v>0</v>
      </c>
      <c r="F51" s="10" t="n">
        <v>916</v>
      </c>
      <c r="G51" s="11" t="inlineStr">
        <is>
          <t>+51%</t>
        </is>
      </c>
      <c r="H51" s="11" t="inlineStr">
        <is>
          <t>-100%</t>
        </is>
      </c>
      <c r="I51" s="10" t="inlineStr"/>
    </row>
    <row r="52">
      <c r="A52" s="17" t="inlineStr"/>
      <c r="B52" s="17" t="inlineStr"/>
      <c r="C52" s="17" t="inlineStr">
        <is>
          <t>DIRECT TOTAL</t>
        </is>
      </c>
      <c r="D52" s="17" t="n">
        <v>4990.17</v>
      </c>
      <c r="E52" s="17" t="n">
        <v>2376.09</v>
      </c>
      <c r="F52" s="17" t="n">
        <v>8551.52</v>
      </c>
      <c r="G52" s="20" t="inlineStr">
        <is>
          <t>-42%</t>
        </is>
      </c>
      <c r="H52" s="20" t="inlineStr">
        <is>
          <t>-72%</t>
        </is>
      </c>
      <c r="I52" s="17" t="inlineStr"/>
    </row>
    <row r="54">
      <c r="A54" s="10" t="n">
        <v>236869</v>
      </c>
      <c r="B54" s="10" t="inlineStr">
        <is>
          <t>RW-260730-155412 / 223597</t>
        </is>
      </c>
      <c r="C54" s="10" t="inlineStr">
        <is>
          <t>Material</t>
        </is>
      </c>
      <c r="D54" s="10" t="n">
        <v>662.8200000000001</v>
      </c>
      <c r="E54" s="10" t="n">
        <v>619.83</v>
      </c>
      <c r="F54" s="10" t="n">
        <v>646.66</v>
      </c>
      <c r="G54" s="13" t="inlineStr">
        <is>
          <t>+2%</t>
        </is>
      </c>
      <c r="H54" s="13" t="inlineStr">
        <is>
          <t>-4%</t>
        </is>
      </c>
      <c r="I54" s="10" t="inlineStr">
        <is>
          <t>Invoiced $2,876.15 vs quoted $2,749.42</t>
        </is>
      </c>
    </row>
    <row r="55">
      <c r="A55" s="10" t="inlineStr"/>
      <c r="B55" s="10" t="inlineStr"/>
      <c r="C55" s="10" t="inlineStr">
        <is>
          <t>Print</t>
        </is>
      </c>
      <c r="D55" s="10" t="n">
        <v>815.97</v>
      </c>
      <c r="E55" s="10" t="n">
        <v>384.13</v>
      </c>
      <c r="F55" s="10" t="n">
        <v>946.88</v>
      </c>
      <c r="G55" s="13" t="inlineStr">
        <is>
          <t>-14%</t>
        </is>
      </c>
      <c r="H55" s="11" t="inlineStr">
        <is>
          <t>-59%</t>
        </is>
      </c>
      <c r="I55" s="10" t="inlineStr"/>
    </row>
    <row r="56">
      <c r="A56" s="10" t="inlineStr"/>
      <c r="B56" s="10" t="inlineStr"/>
      <c r="C56" s="10" t="inlineStr">
        <is>
          <t>Cutting</t>
        </is>
      </c>
      <c r="D56" s="10" t="n">
        <v>511.19</v>
      </c>
      <c r="E56" s="10" t="n">
        <v>540.02</v>
      </c>
      <c r="F56" s="10" t="n">
        <v>986.46</v>
      </c>
      <c r="G56" s="11" t="inlineStr">
        <is>
          <t>-48%</t>
        </is>
      </c>
      <c r="H56" s="11" t="inlineStr">
        <is>
          <t>-45%</t>
        </is>
      </c>
      <c r="I56" s="10" t="inlineStr"/>
    </row>
    <row r="57">
      <c r="A57" s="10" t="inlineStr"/>
      <c r="B57" s="10" t="inlineStr"/>
      <c r="C57" s="10" t="inlineStr">
        <is>
          <t>Hand</t>
        </is>
      </c>
      <c r="D57" s="10" t="n">
        <v>0</v>
      </c>
      <c r="E57" s="10" t="n">
        <v>0</v>
      </c>
      <c r="F57" s="10" t="n">
        <v>0</v>
      </c>
      <c r="G57" s="10" t="inlineStr">
        <is>
          <t>n/a</t>
        </is>
      </c>
      <c r="H57" s="10" t="inlineStr">
        <is>
          <t>n/a</t>
        </is>
      </c>
      <c r="I57" s="10" t="inlineStr"/>
    </row>
    <row r="58">
      <c r="A58" s="10" t="inlineStr"/>
      <c r="B58" s="10" t="inlineStr"/>
      <c r="C58" s="10" t="inlineStr">
        <is>
          <t>Die</t>
        </is>
      </c>
      <c r="D58" s="10" t="n">
        <v>0</v>
      </c>
      <c r="E58" s="10" t="n">
        <v>0</v>
      </c>
      <c r="F58" s="10" t="n">
        <v>0</v>
      </c>
      <c r="G58" s="10" t="inlineStr">
        <is>
          <t>n/a</t>
        </is>
      </c>
      <c r="H58" s="10" t="inlineStr">
        <is>
          <t>n/a</t>
        </is>
      </c>
      <c r="I58" s="10" t="inlineStr"/>
    </row>
    <row r="59">
      <c r="A59" s="17" t="inlineStr"/>
      <c r="B59" s="17" t="inlineStr"/>
      <c r="C59" s="17" t="inlineStr">
        <is>
          <t>DIRECT TOTAL</t>
        </is>
      </c>
      <c r="D59" s="17" t="n">
        <v>1989.98</v>
      </c>
      <c r="E59" s="17" t="n">
        <v>1543.98</v>
      </c>
      <c r="F59" s="17" t="n">
        <v>2580</v>
      </c>
      <c r="G59" s="19" t="inlineStr">
        <is>
          <t>-23%</t>
        </is>
      </c>
      <c r="H59" s="20" t="inlineStr">
        <is>
          <t>-40%</t>
        </is>
      </c>
      <c r="I59" s="17" t="inlineStr"/>
    </row>
    <row r="61">
      <c r="A61" s="10" t="n">
        <v>237252</v>
      </c>
      <c r="B61" s="10" t="inlineStr">
        <is>
          <t>RW-260724-113737 / 223651</t>
        </is>
      </c>
      <c r="C61" s="10" t="inlineStr">
        <is>
          <t>Material</t>
        </is>
      </c>
      <c r="D61" s="10" t="n">
        <v>5.35</v>
      </c>
      <c r="E61" s="10" t="n">
        <v>10.9</v>
      </c>
      <c r="F61" s="10" t="n">
        <v>0</v>
      </c>
      <c r="G61" s="10" t="inlineStr">
        <is>
          <t>n/a</t>
        </is>
      </c>
      <c r="H61" s="10" t="inlineStr">
        <is>
          <t>n/a</t>
        </is>
      </c>
      <c r="I61" s="10" t="inlineStr">
        <is>
          <t>Cut-only op, no material</t>
        </is>
      </c>
    </row>
    <row r="62">
      <c r="A62" s="10" t="inlineStr"/>
      <c r="B62" s="10" t="inlineStr"/>
      <c r="C62" s="10" t="inlineStr">
        <is>
          <t>Print</t>
        </is>
      </c>
      <c r="D62" s="10" t="n">
        <v>0</v>
      </c>
      <c r="E62" s="10" t="n">
        <v>0</v>
      </c>
      <c r="F62" s="10" t="n">
        <v>0</v>
      </c>
      <c r="G62" s="10" t="inlineStr">
        <is>
          <t>n/a</t>
        </is>
      </c>
      <c r="H62" s="10" t="inlineStr">
        <is>
          <t>n/a</t>
        </is>
      </c>
      <c r="I62" s="10" t="inlineStr"/>
    </row>
    <row r="63">
      <c r="A63" s="10" t="inlineStr"/>
      <c r="B63" s="10" t="inlineStr"/>
      <c r="C63" s="10" t="inlineStr">
        <is>
          <t>Cutting</t>
        </is>
      </c>
      <c r="D63" s="10" t="n">
        <v>60</v>
      </c>
      <c r="E63" s="10" t="n">
        <v>41.44</v>
      </c>
      <c r="F63" s="10" t="n">
        <v>163.97</v>
      </c>
      <c r="G63" s="11" t="inlineStr">
        <is>
          <t>-63%</t>
        </is>
      </c>
      <c r="H63" s="11" t="inlineStr">
        <is>
          <t>-75%</t>
        </is>
      </c>
      <c r="I63" s="10" t="inlineStr"/>
    </row>
    <row r="64">
      <c r="A64" s="10" t="inlineStr"/>
      <c r="B64" s="10" t="inlineStr"/>
      <c r="C64" s="10" t="inlineStr">
        <is>
          <t>Hand</t>
        </is>
      </c>
      <c r="D64" s="10" t="n">
        <v>0.85</v>
      </c>
      <c r="E64" s="10" t="n">
        <v>0</v>
      </c>
      <c r="F64" s="10" t="n">
        <v>0</v>
      </c>
      <c r="G64" s="10" t="inlineStr">
        <is>
          <t>n/a</t>
        </is>
      </c>
      <c r="H64" s="10" t="inlineStr">
        <is>
          <t>n/a</t>
        </is>
      </c>
      <c r="I64" s="10" t="inlineStr"/>
    </row>
    <row r="65">
      <c r="A65" s="10" t="inlineStr"/>
      <c r="B65" s="10" t="inlineStr"/>
      <c r="C65" s="10" t="inlineStr">
        <is>
          <t>Die</t>
        </is>
      </c>
      <c r="D65" s="10" t="n">
        <v>0</v>
      </c>
      <c r="E65" s="10" t="n">
        <v>0</v>
      </c>
      <c r="F65" s="10" t="n">
        <v>0</v>
      </c>
      <c r="G65" s="10" t="inlineStr">
        <is>
          <t>n/a</t>
        </is>
      </c>
      <c r="H65" s="10" t="inlineStr">
        <is>
          <t>n/a</t>
        </is>
      </c>
      <c r="I65" s="10" t="inlineStr"/>
    </row>
    <row r="66">
      <c r="A66" s="17" t="inlineStr"/>
      <c r="B66" s="17" t="inlineStr"/>
      <c r="C66" s="17" t="inlineStr">
        <is>
          <t>DIRECT TOTAL</t>
        </is>
      </c>
      <c r="D66" s="17" t="n">
        <v>66.2</v>
      </c>
      <c r="E66" s="17" t="n">
        <v>52.35</v>
      </c>
      <c r="F66" s="17" t="n">
        <v>163.97</v>
      </c>
      <c r="G66" s="20" t="inlineStr">
        <is>
          <t>-60%</t>
        </is>
      </c>
      <c r="H66" s="20" t="inlineStr">
        <is>
          <t>-68%</t>
        </is>
      </c>
      <c r="I66" s="17" t="inlineStr"/>
    </row>
    <row r="67">
      <c r="A67" s="3" t="inlineStr">
        <is>
          <t>INVOICED PRICE vs ACTUAL COST — would SPOT prices have been viable?</t>
        </is>
      </c>
    </row>
    <row r="68">
      <c r="A68" s="6" t="inlineStr">
        <is>
          <t>MIS Job</t>
        </is>
      </c>
      <c r="B68" s="6" t="inlineStr">
        <is>
          <t>Invoiced $</t>
        </is>
      </c>
      <c r="C68" s="6" t="inlineStr">
        <is>
          <t>SPOT Would-Be $</t>
        </is>
      </c>
      <c r="D68" s="6" t="inlineStr">
        <is>
          <t>ACTUAL Cost $</t>
        </is>
      </c>
      <c r="E68" s="6" t="inlineStr">
        <is>
          <t>Margin as Invoiced</t>
        </is>
      </c>
      <c r="F68" s="6" t="inlineStr">
        <is>
          <t>Margin at SPOT Price</t>
        </is>
      </c>
    </row>
    <row r="69">
      <c r="A69" s="10" t="n">
        <v>236341</v>
      </c>
      <c r="B69" s="10" t="n">
        <v>1732.96</v>
      </c>
      <c r="C69" s="10" t="n">
        <v>1752.51</v>
      </c>
      <c r="D69" s="10" t="n">
        <v>2276.74</v>
      </c>
      <c r="E69" s="11" t="inlineStr">
        <is>
          <t>-31%</t>
        </is>
      </c>
      <c r="F69" s="11" t="inlineStr">
        <is>
          <t>-30%</t>
        </is>
      </c>
    </row>
    <row r="70">
      <c r="A70" s="10" t="n">
        <v>236355</v>
      </c>
      <c r="B70" s="10" t="n">
        <v>241.9</v>
      </c>
      <c r="C70" s="10" t="n">
        <v>453.63</v>
      </c>
      <c r="D70" s="10" t="n">
        <v>193.79</v>
      </c>
      <c r="E70" s="13" t="inlineStr">
        <is>
          <t>+20%</t>
        </is>
      </c>
      <c r="F70" s="13" t="inlineStr">
        <is>
          <t>+57%</t>
        </is>
      </c>
    </row>
    <row r="71">
      <c r="A71" s="10" t="n">
        <v>236550</v>
      </c>
      <c r="B71" s="10" t="n">
        <v>1387.27</v>
      </c>
      <c r="C71" s="10" t="n">
        <v>1753.9</v>
      </c>
      <c r="D71" s="10" t="n">
        <v>1630.91</v>
      </c>
      <c r="E71" s="11" t="inlineStr">
        <is>
          <t>-18%</t>
        </is>
      </c>
      <c r="F71" s="12" t="inlineStr">
        <is>
          <t>+7%</t>
        </is>
      </c>
    </row>
    <row r="72">
      <c r="A72" s="10" t="n">
        <v>236688</v>
      </c>
      <c r="B72" s="10" t="n">
        <v>248.28</v>
      </c>
      <c r="C72" s="10" t="n">
        <v>255.63</v>
      </c>
      <c r="D72" s="10" t="n">
        <v>206.83</v>
      </c>
      <c r="E72" s="13" t="inlineStr">
        <is>
          <t>+17%</t>
        </is>
      </c>
      <c r="F72" s="13" t="inlineStr">
        <is>
          <t>+19%</t>
        </is>
      </c>
    </row>
    <row r="73">
      <c r="A73" s="10" t="n">
        <v>236802</v>
      </c>
      <c r="B73" s="10" t="n">
        <v>6164.32</v>
      </c>
      <c r="C73" s="10" t="n">
        <v>5824.4</v>
      </c>
      <c r="D73" s="10" t="n">
        <v>4858.9</v>
      </c>
      <c r="E73" s="13" t="inlineStr">
        <is>
          <t>+21%</t>
        </is>
      </c>
      <c r="F73" s="13" t="inlineStr">
        <is>
          <t>+17%</t>
        </is>
      </c>
    </row>
    <row r="74">
      <c r="A74" s="10" t="n">
        <v>236822</v>
      </c>
      <c r="B74" s="10" t="n">
        <v>985.09</v>
      </c>
      <c r="C74" s="10" t="n">
        <v>1259.41</v>
      </c>
      <c r="D74" s="10" t="n">
        <v>926.42</v>
      </c>
      <c r="E74" s="12" t="inlineStr">
        <is>
          <t>+6%</t>
        </is>
      </c>
      <c r="F74" s="13" t="inlineStr">
        <is>
          <t>+26%</t>
        </is>
      </c>
    </row>
    <row r="75">
      <c r="A75" s="10" t="n">
        <v>236943</v>
      </c>
      <c r="B75" s="10" t="n">
        <v>4352.65</v>
      </c>
      <c r="C75" s="10" t="n">
        <v>6773.57</v>
      </c>
      <c r="D75" s="10" t="n">
        <v>9467.52</v>
      </c>
      <c r="E75" s="11" t="inlineStr">
        <is>
          <t>-118%</t>
        </is>
      </c>
      <c r="F75" s="11" t="inlineStr">
        <is>
          <t>-40%</t>
        </is>
      </c>
    </row>
    <row r="76">
      <c r="A76" s="10" t="n">
        <v>236869</v>
      </c>
      <c r="B76" s="10" t="n">
        <v>2876.15</v>
      </c>
      <c r="C76" s="10" t="n">
        <v>3071.43</v>
      </c>
      <c r="D76" s="10" t="n">
        <v>2580</v>
      </c>
      <c r="E76" s="13" t="inlineStr">
        <is>
          <t>+10%</t>
        </is>
      </c>
      <c r="F76" s="13" t="inlineStr">
        <is>
          <t>+16%</t>
        </is>
      </c>
    </row>
    <row r="77">
      <c r="A77" s="10" t="n">
        <v>237252</v>
      </c>
      <c r="B77" s="10" t="n">
        <v>142.41</v>
      </c>
      <c r="C77" s="10" t="n">
        <v>132.39</v>
      </c>
      <c r="D77" s="10" t="n">
        <v>163.97</v>
      </c>
      <c r="E77" s="11" t="inlineStr">
        <is>
          <t>-15%</t>
        </is>
      </c>
      <c r="F77" s="11" t="inlineStr">
        <is>
          <t>-24%</t>
        </is>
      </c>
    </row>
    <row r="78">
      <c r="A78" s="4" t="inlineStr">
        <is>
          <t>TOTAL</t>
        </is>
      </c>
      <c r="B78" s="4" t="n">
        <v>18131.03</v>
      </c>
      <c r="C78" s="4" t="n">
        <v>21276.87</v>
      </c>
      <c r="D78" s="4" t="n">
        <v>22305.08</v>
      </c>
      <c r="E78" s="21" t="inlineStr">
        <is>
          <t>-23%</t>
        </is>
      </c>
      <c r="F78" s="22" t="inlineStr">
        <is>
          <t>-5%</t>
        </is>
      </c>
    </row>
    <row r="80" ht="14" customHeight="1">
      <c r="A80" s="8" t="inlineStr">
        <is>
          <t>FINDINGS (small sample — direction, not gospel)</t>
        </is>
      </c>
    </row>
    <row r="81" ht="28" customHeight="1">
      <c r="A81" s="9" t="inlineStr">
        <is>
          <t>1. These 9 jobs invoiced $18,131 but actually cost $22,305 — invoiced 23% BELOW cost. 5 of 9 lost money. Invoices include dies and shipping; actual-cost pull has no freight column, so true margins are slightly worse.</t>
        </is>
      </c>
    </row>
    <row r="82" ht="28" customHeight="1">
      <c r="A82" s="9" t="inlineStr">
        <is>
          <t>2. At SPOT's prices ($21,277) the same work is near break-even (-5%). The SPOT premium on won jobs was largely justified pricing.</t>
        </is>
      </c>
    </row>
    <row r="83" ht="28" customHeight="1">
      <c r="A83" s="9" t="inlineStr">
        <is>
          <t>3. PRINT: actual $4,541 vs SPOT -14% vs iQuote -49% (excl blowout). SPOT print is close to reality; iQuote badly under.</t>
        </is>
      </c>
    </row>
    <row r="84" ht="28" customHeight="1">
      <c r="A84" s="9" t="inlineStr">
        <is>
          <t>4. MATERIAL: SPOT within +/-10% of actual — well calibrated.</t>
        </is>
      </c>
    </row>
    <row r="85" ht="28" customHeight="1">
      <c r="A85" s="9" t="inlineStr">
        <is>
          <t>5. CUTTING (machine-family aligned, excl 236943 route mismatch): CAD route SPOT -32% (7 jobs); Crest -50% (1 job). See Cutting Deep-Dive for root cause and bookmarked fix.</t>
        </is>
      </c>
    </row>
    <row r="86" ht="28" customHeight="1">
      <c r="A86" s="9" t="inlineStr">
        <is>
          <t>6. Blowout job 236943: sold at CAD-pricing $4,353, actual cost $9,468. SPOT would have quoted $6,774 — still a loss, but $2,400 less. SPOT quoted Crest/die route, ran Kongsberg (CAD) — excluded from cutting calibration.</t>
        </is>
      </c>
    </row>
  </sheetData>
  <mergeCells count="8">
    <mergeCell ref="A82:I82"/>
    <mergeCell ref="A81:I81"/>
    <mergeCell ref="A85:I85"/>
    <mergeCell ref="A84:I84"/>
    <mergeCell ref="A80:I80"/>
    <mergeCell ref="A2:J2"/>
    <mergeCell ref="A83:I83"/>
    <mergeCell ref="A86:I8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</cols>
  <sheetData>
    <row r="1">
      <c r="A1" s="1" t="inlineStr">
        <is>
          <t>Cutting Cost Deep-Dive — 1 year of wide-format production (1,045 cutting ops)</t>
        </is>
      </c>
    </row>
    <row r="3">
      <c r="A3" s="3" t="inlineStr">
        <is>
          <t>1. MACHINE MIX &amp; RATES (why "blended vs LG Zund" is moot)</t>
        </is>
      </c>
    </row>
    <row r="4">
      <c r="A4" s="6" t="inlineStr">
        <is>
          <t>Work center</t>
        </is>
      </c>
      <c r="B4" s="6" t="inlineStr">
        <is>
          <t>Ops</t>
        </is>
      </c>
      <c r="C4" s="6" t="inlineStr">
        <is>
          <t>Ops %</t>
        </is>
      </c>
      <c r="D4" s="6" t="inlineStr">
        <is>
          <t>Cost $</t>
        </is>
      </c>
      <c r="E4" s="6" t="inlineStr">
        <is>
          <t>Cost %</t>
        </is>
      </c>
      <c r="F4" s="6" t="inlineStr">
        <is>
          <t>Hours</t>
        </is>
      </c>
      <c r="G4" s="6" t="inlineStr">
        <is>
          <t>WC rate $/hr</t>
        </is>
      </c>
      <c r="H4" s="6" t="inlineStr">
        <is>
          <t>$/op</t>
        </is>
      </c>
    </row>
    <row r="5">
      <c r="A5" s="10" t="inlineStr">
        <is>
          <t>Kongsburg</t>
        </is>
      </c>
      <c r="B5" s="10" t="n">
        <v>351</v>
      </c>
      <c r="C5" s="10" t="inlineStr">
        <is>
          <t>34%</t>
        </is>
      </c>
      <c r="D5" s="10" t="n">
        <v>152001</v>
      </c>
      <c r="E5" s="10" t="inlineStr">
        <is>
          <t>32%</t>
        </is>
      </c>
      <c r="F5" s="10" t="n">
        <v>2111.1</v>
      </c>
      <c r="G5" s="10" t="inlineStr">
        <is>
          <t>72.00</t>
        </is>
      </c>
      <c r="H5" s="10" t="n">
        <v>433</v>
      </c>
    </row>
    <row r="6">
      <c r="A6" s="10" t="inlineStr">
        <is>
          <t>Clamshell Diecutter</t>
        </is>
      </c>
      <c r="B6" s="10" t="n">
        <v>138</v>
      </c>
      <c r="C6" s="10" t="inlineStr">
        <is>
          <t>13%</t>
        </is>
      </c>
      <c r="D6" s="10" t="n">
        <v>148242</v>
      </c>
      <c r="E6" s="10" t="inlineStr">
        <is>
          <t>31%</t>
        </is>
      </c>
      <c r="F6" s="10" t="n">
        <v>776.1</v>
      </c>
      <c r="G6" s="10" t="inlineStr">
        <is>
          <t>191.00</t>
        </is>
      </c>
      <c r="H6" s="10" t="n">
        <v>1074</v>
      </c>
    </row>
    <row r="7">
      <c r="A7" s="10" t="inlineStr">
        <is>
          <t>LG Zund</t>
        </is>
      </c>
      <c r="B7" s="10" t="n">
        <v>405</v>
      </c>
      <c r="C7" s="10" t="inlineStr">
        <is>
          <t>39%</t>
        </is>
      </c>
      <c r="D7" s="10" t="n">
        <v>127455</v>
      </c>
      <c r="E7" s="10" t="inlineStr">
        <is>
          <t>27%</t>
        </is>
      </c>
      <c r="F7" s="10" t="n">
        <v>1847.2</v>
      </c>
      <c r="G7" s="10" t="inlineStr">
        <is>
          <t>69.00</t>
        </is>
      </c>
      <c r="H7" s="10" t="n">
        <v>315</v>
      </c>
    </row>
    <row r="8">
      <c r="A8" s="10" t="inlineStr">
        <is>
          <t>Sm Zund</t>
        </is>
      </c>
      <c r="B8" s="10" t="n">
        <v>133</v>
      </c>
      <c r="C8" s="10" t="inlineStr">
        <is>
          <t>13%</t>
        </is>
      </c>
      <c r="D8" s="10" t="n">
        <v>41079</v>
      </c>
      <c r="E8" s="10" t="inlineStr">
        <is>
          <t>9%</t>
        </is>
      </c>
      <c r="F8" s="10" t="n">
        <v>595.3</v>
      </c>
      <c r="G8" s="10" t="inlineStr">
        <is>
          <t>69.00</t>
        </is>
      </c>
      <c r="H8" s="10" t="n">
        <v>309</v>
      </c>
    </row>
    <row r="9">
      <c r="A9" s="10" t="inlineStr">
        <is>
          <t>Bobst Die Cutter</t>
        </is>
      </c>
      <c r="B9" s="10" t="n">
        <v>18</v>
      </c>
      <c r="C9" s="10" t="inlineStr">
        <is>
          <t>2%</t>
        </is>
      </c>
      <c r="D9" s="10" t="n">
        <v>4169</v>
      </c>
      <c r="E9" s="10" t="inlineStr">
        <is>
          <t>1%</t>
        </is>
      </c>
      <c r="F9" s="10" t="n">
        <v>52.1</v>
      </c>
      <c r="G9" s="10" t="inlineStr">
        <is>
          <t>80.00</t>
        </is>
      </c>
      <c r="H9" s="10" t="n">
        <v>232</v>
      </c>
    </row>
    <row r="11">
      <c r="A11" s="23" t="inlineStr">
        <is>
          <t>CAD-family rates are uniform ($69-72/hr) — machine drift at schedule time is NOT a rate risk. Blended CAD rate remains the right model.</t>
        </is>
      </c>
    </row>
    <row r="13">
      <c r="A13" s="3" t="inlineStr">
        <is>
          <t>2. HOURS DECOMPOSITION — produced jobs (SPOT estimated vs actual)</t>
        </is>
      </c>
    </row>
    <row r="14">
      <c r="A14" s="6" t="inlineStr">
        <is>
          <t>MIS Job</t>
        </is>
      </c>
      <c r="B14" s="6" t="inlineStr">
        <is>
          <t>Machine ran</t>
        </is>
      </c>
      <c r="C14" s="6" t="inlineStr">
        <is>
          <t>SPOT hrs</t>
        </is>
      </c>
      <c r="D14" s="6" t="inlineStr">
        <is>
          <t>Actual hrs</t>
        </is>
      </c>
      <c r="E14" s="6" t="inlineStr">
        <is>
          <t>Hours Delta</t>
        </is>
      </c>
      <c r="F14" s="6" t="inlineStr">
        <is>
          <t>SPOT $/hr</t>
        </is>
      </c>
      <c r="G14" s="6" t="inlineStr">
        <is>
          <t>Actual WC $/hr</t>
        </is>
      </c>
      <c r="H14" s="6" t="inlineStr">
        <is>
          <t>SPOT cut $</t>
        </is>
      </c>
      <c r="I14" s="6" t="inlineStr">
        <is>
          <t>Actual cut $</t>
        </is>
      </c>
    </row>
    <row r="15">
      <c r="A15" s="10" t="n">
        <v>236341</v>
      </c>
      <c r="B15" s="10" t="inlineStr">
        <is>
          <t>Kongsburg</t>
        </is>
      </c>
      <c r="C15" s="10" t="n">
        <v>2.96</v>
      </c>
      <c r="D15" s="10" t="n">
        <v>7.32</v>
      </c>
      <c r="E15" s="11" t="inlineStr">
        <is>
          <t>-60%</t>
        </is>
      </c>
      <c r="F15" s="10" t="n">
        <v>138</v>
      </c>
      <c r="G15" s="10" t="inlineStr">
        <is>
          <t>72.00</t>
        </is>
      </c>
      <c r="H15" s="10" t="n">
        <v>408</v>
      </c>
      <c r="I15" s="10" t="n">
        <v>527</v>
      </c>
    </row>
    <row r="16">
      <c r="A16" s="10" t="n">
        <v>236355</v>
      </c>
      <c r="B16" s="10" t="inlineStr">
        <is>
          <t>LG Zund</t>
        </is>
      </c>
      <c r="C16" s="10" t="n">
        <v>0.4</v>
      </c>
      <c r="D16" s="10" t="n">
        <v>0.6</v>
      </c>
      <c r="E16" s="12" t="inlineStr">
        <is>
          <t>-34%</t>
        </is>
      </c>
      <c r="F16" s="10" t="n">
        <v>138</v>
      </c>
      <c r="G16" s="10" t="inlineStr">
        <is>
          <t>69.00</t>
        </is>
      </c>
      <c r="H16" s="10" t="n">
        <v>55</v>
      </c>
      <c r="I16" s="10" t="n">
        <v>42</v>
      </c>
    </row>
    <row r="17">
      <c r="A17" s="10" t="n">
        <v>236550</v>
      </c>
      <c r="B17" s="10" t="inlineStr">
        <is>
          <t>Kongsburg</t>
        </is>
      </c>
      <c r="C17" s="10" t="n">
        <v>1.63</v>
      </c>
      <c r="D17" s="10" t="n">
        <v>3.46</v>
      </c>
      <c r="E17" s="11" t="inlineStr">
        <is>
          <t>-53%</t>
        </is>
      </c>
      <c r="F17" s="10" t="n">
        <v>138</v>
      </c>
      <c r="G17" s="10" t="inlineStr">
        <is>
          <t>72.00</t>
        </is>
      </c>
      <c r="H17" s="10" t="n">
        <v>225</v>
      </c>
      <c r="I17" s="10" t="n">
        <v>249</v>
      </c>
    </row>
    <row r="18">
      <c r="A18" s="10" t="n">
        <v>236688</v>
      </c>
      <c r="B18" s="10" t="inlineStr">
        <is>
          <t>Sm Zund</t>
        </is>
      </c>
      <c r="C18" s="10" t="n">
        <v>0.68</v>
      </c>
      <c r="D18" s="10" t="n">
        <v>2.24</v>
      </c>
      <c r="E18" s="11" t="inlineStr">
        <is>
          <t>-70%</t>
        </is>
      </c>
      <c r="F18" s="10" t="n">
        <v>138</v>
      </c>
      <c r="G18" s="10" t="inlineStr">
        <is>
          <t>69.00</t>
        </is>
      </c>
      <c r="H18" s="10" t="n">
        <v>94</v>
      </c>
      <c r="I18" s="10" t="n">
        <v>154</v>
      </c>
    </row>
    <row r="19">
      <c r="A19" s="10" t="n">
        <v>236802</v>
      </c>
      <c r="B19" s="10" t="inlineStr">
        <is>
          <t>Clamshell Diecutter</t>
        </is>
      </c>
      <c r="C19" s="10" t="n">
        <v>2.22</v>
      </c>
      <c r="D19" s="10" t="n">
        <v>4.39</v>
      </c>
      <c r="E19" s="11" t="inlineStr">
        <is>
          <t>-50%</t>
        </is>
      </c>
      <c r="F19" s="10" t="n">
        <v>191</v>
      </c>
      <c r="G19" s="10" t="inlineStr">
        <is>
          <t>191.00</t>
        </is>
      </c>
      <c r="H19" s="10" t="n">
        <v>423</v>
      </c>
      <c r="I19" s="10" t="n">
        <v>839</v>
      </c>
    </row>
    <row r="20">
      <c r="A20" s="10" t="n">
        <v>236822</v>
      </c>
      <c r="B20" s="10" t="inlineStr">
        <is>
          <t>LG Zund</t>
        </is>
      </c>
      <c r="C20" s="10" t="n">
        <v>1.37</v>
      </c>
      <c r="D20" s="10" t="n">
        <v>2.12</v>
      </c>
      <c r="E20" s="12" t="inlineStr">
        <is>
          <t>-35%</t>
        </is>
      </c>
      <c r="F20" s="10" t="n">
        <v>138</v>
      </c>
      <c r="G20" s="10" t="inlineStr">
        <is>
          <t>69.00</t>
        </is>
      </c>
      <c r="H20" s="10" t="n">
        <v>189</v>
      </c>
      <c r="I20" s="10" t="n">
        <v>146</v>
      </c>
    </row>
    <row r="21">
      <c r="A21" s="10" t="n">
        <v>236943</v>
      </c>
      <c r="B21" s="10" t="inlineStr">
        <is>
          <t>Kongsburg</t>
        </is>
      </c>
      <c r="C21" s="10" t="n">
        <v>2.42</v>
      </c>
      <c r="D21" s="10" t="n">
        <v>31.07</v>
      </c>
      <c r="E21" s="11" t="inlineStr">
        <is>
          <t>-92%</t>
        </is>
      </c>
      <c r="F21" s="10" t="n">
        <v>191</v>
      </c>
      <c r="G21" s="10" t="inlineStr">
        <is>
          <t>72.00</t>
        </is>
      </c>
      <c r="H21" s="10" t="n">
        <v>462</v>
      </c>
      <c r="I21" s="10" t="n">
        <v>2237</v>
      </c>
    </row>
    <row r="22">
      <c r="A22" s="10" t="n">
        <v>236869</v>
      </c>
      <c r="B22" s="10" t="inlineStr">
        <is>
          <t>Kongsburg</t>
        </is>
      </c>
      <c r="C22" s="10" t="n">
        <v>3.7</v>
      </c>
      <c r="D22" s="10" t="n">
        <v>13.7</v>
      </c>
      <c r="E22" s="11" t="inlineStr">
        <is>
          <t>-73%</t>
        </is>
      </c>
      <c r="F22" s="10" t="n">
        <v>138</v>
      </c>
      <c r="G22" s="10" t="inlineStr">
        <is>
          <t>72.00</t>
        </is>
      </c>
      <c r="H22" s="10" t="n">
        <v>511</v>
      </c>
      <c r="I22" s="10" t="n">
        <v>986</v>
      </c>
    </row>
    <row r="23">
      <c r="A23" s="10" t="n">
        <v>237252</v>
      </c>
      <c r="B23" s="10" t="inlineStr">
        <is>
          <t>LG Zund</t>
        </is>
      </c>
      <c r="C23" s="10" t="n">
        <v>0.43</v>
      </c>
      <c r="D23" s="10" t="n">
        <v>2.38</v>
      </c>
      <c r="E23" s="11" t="inlineStr">
        <is>
          <t>-82%</t>
        </is>
      </c>
      <c r="F23" s="10" t="n">
        <v>138</v>
      </c>
      <c r="G23" s="10" t="inlineStr">
        <is>
          <t>69.00</t>
        </is>
      </c>
      <c r="H23" s="10" t="n">
        <v>60</v>
      </c>
      <c r="I23" s="10" t="n">
        <v>164</v>
      </c>
    </row>
    <row r="26">
      <c r="A26" s="3" t="inlineStr">
        <is>
          <t>3. ROOT CAUSE &amp; BOOKMARKED RECOMMENDATION (NO CHANGES APPLIED)</t>
        </is>
      </c>
    </row>
    <row r="27" ht="30" customHeight="1">
      <c r="A27" s="9" t="inlineStr">
        <is>
          <t>• Setup: SPOT assumes 25 min (Standard). Logged actual setups: LG Zund ~16 min, Sm Zund ~18, Kongsberg ~32 median. SETUP IS FINE. (Caveat: setup logging inconsistent — ~40% of ops log none; those hours sit inside run time, so calibration uses TOTAL hours.)</t>
        </is>
      </c>
    </row>
    <row r="28" ht="30" customHeight="1">
      <c r="A28" s="9" t="inlineStr">
        <is>
          <t>• Run speed: SPOT assumes 650 in/min cut speed — inherited verbatim from legacy R1.5. Effective actual throughput (total-hours method): ~165 in/min — ~3.5x slower. THIS IS THE MISS. 650 is plausibly head speed; real throughput includes sheet load/unload/registration.</t>
        </is>
      </c>
    </row>
    <row r="29" ht="30" customHeight="1">
      <c r="A29" s="9" t="inlineStr">
        <is>
          <t>• Rate: SPOT charges $138/hr (also legacy-inherited) vs actual CAD-family WC rate $69-72/hr. The inflated rate historically masked ~half of the speed miss (compensating errors).</t>
        </is>
      </c>
    </row>
    <row r="30" ht="15" customHeight="1">
      <c r="A30" s="9" t="inlineStr"/>
    </row>
    <row r="31" ht="15" customHeight="1">
      <c r="A31" s="24" t="inlineStr">
        <is>
          <t>RECOMMENDED FIX (admin console only, reversible, BOOKMARKED pending leadership):</t>
        </is>
      </c>
    </row>
    <row r="32" ht="15" customHeight="1">
      <c r="A32" s="9" t="inlineStr">
        <is>
          <t xml:space="preserve">   Option B (preferred): cadRegularSpeed 650 -&gt; ~165 in/min  AND  cadRate $138 -&gt; $72/hr.</t>
        </is>
      </c>
    </row>
    <row r="33" ht="30" customHeight="1">
      <c r="A33" s="9" t="inlineStr">
        <is>
          <t xml:space="preserve">   Costs land the same place as Option A but hours become real — also fixes route auto-selection fairness (CAD vs Crest vs Bobst compete on honest numbers).</t>
        </is>
      </c>
    </row>
    <row r="34" ht="15" customHeight="1">
      <c r="A34" s="9" t="inlineStr">
        <is>
          <t xml:space="preserve">   Option A (single knob): cadRate $138 -&gt; ~$203/hr. Quicker, but hours stay fictional.</t>
        </is>
      </c>
    </row>
    <row r="35" ht="30" customHeight="1">
      <c r="A35" s="9" t="inlineStr">
        <is>
          <t xml:space="preserve">   Either way: revisit at ~25 produced Test-flagged jobs. Speed fit based on 5 jobs with known rule inches — thin but consistent.</t>
        </is>
      </c>
    </row>
    <row r="36" ht="30" customHeight="1">
      <c r="A36" s="9" t="inlineStr">
        <is>
          <t xml:space="preserve">   Crest: rate already matches WC ($191). Crest hours also ~50% low on the one produced crest job — insufficient data to act (n=1).</t>
        </is>
      </c>
    </row>
    <row r="37" ht="30" customHeight="1">
      <c r="A37" s="9" t="inlineStr">
        <is>
          <t xml:space="preserve">   Ask of production: consistent setup logging on Zunds/Kongsberg would let the next pull separate setup vs run cleanly and validate the difficulty curve.</t>
        </is>
      </c>
    </row>
  </sheetData>
  <mergeCells count="12">
    <mergeCell ref="A29:I29"/>
    <mergeCell ref="A33:I33"/>
    <mergeCell ref="A28:I28"/>
    <mergeCell ref="A37:I37"/>
    <mergeCell ref="A32:I32"/>
    <mergeCell ref="A36:I36"/>
    <mergeCell ref="A27:I27"/>
    <mergeCell ref="A11:H11"/>
    <mergeCell ref="A31:I31"/>
    <mergeCell ref="A34:I34"/>
    <mergeCell ref="A35:I35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2026-07-31T17:12:08Z</dcterms:created>
  <dcterms:modified xmlns:dcterms="http://purl.org/dc/terms/" xmlns:xsi="http://www.w3.org/2001/XMLSchema-instance" xsi:type="dcterms:W3CDTF">2026-07-31T17:12:08Z</dcterms:modified>
</cp:coreProperties>
</file>